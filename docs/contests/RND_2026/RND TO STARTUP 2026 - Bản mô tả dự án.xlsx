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vắn tắt về các thành " sheetId="1" r:id="rId5"/>
    <sheet state="visible" name="Tài Chính 2" sheetId="2" r:id="rId6"/>
    <sheet state="visible" name="Business Model Canvas" sheetId="3" r:id="rId7"/>
    <sheet state="visible" name="Tài Chính " sheetId="4" r:id="rId8"/>
    <sheet state="visible" name="CAPEX" sheetId="5" r:id="rId9"/>
    <sheet state="visible" name="OPEX" sheetId="6" r:id="rId10"/>
    <sheet state="visible" name="COGS" sheetId="7" r:id="rId11"/>
    <sheet state="visible" name="DEPRECIATION " sheetId="8" r:id="rId12"/>
    <sheet state="visible" name="Revenue forecasts" sheetId="9" r:id="rId13"/>
    <sheet state="visible" name="INCOME STATEMENT" sheetId="10" r:id="rId14"/>
    <sheet state="visible" name="CASH FLOW"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tc={1d79c828-91bf-4187-8b4a-5dbda99d4b3f}</author>
  </authors>
  <commentList>
    <comment authorId="0" xr:uid="{1d79c828-91bf-4187-8b4a-5dbda99d4b3f}" ref="E2">
      <text>
        <t xml:space="preserve">[Threaded comment]
 Your version of Excel allows you to read this threaded comment; however, any edits to it will get removed if the file is opened in a newer version of Excel. Learn more: https://go.microsoft.com/fwlink/?linkid=870924
Comment:
	m ơi chuyên ngành học mà=))))
</t>
      </text>
    </comment>
  </commentList>
</comments>
</file>

<file path=xl/sharedStrings.xml><?xml version="1.0" encoding="utf-8"?>
<sst xmlns="http://schemas.openxmlformats.org/spreadsheetml/2006/main" count="644" uniqueCount="504">
  <si>
    <t>STT</t>
  </si>
  <si>
    <t>A. Nguồn thu dự kiến</t>
  </si>
  <si>
    <t>Họ và tên</t>
  </si>
  <si>
    <t>Năm
sinh</t>
  </si>
  <si>
    <t>Business Model Canvas</t>
  </si>
  <si>
    <t>Đơn vị học
tập/làm việc</t>
  </si>
  <si>
    <t xml:space="preserve">Danh mục </t>
  </si>
  <si>
    <t>Chuyên
ngành/ Lĩnh
vực làm việc</t>
  </si>
  <si>
    <t>Vai trò
trong dự án</t>
  </si>
  <si>
    <t>Ghi chú</t>
  </si>
  <si>
    <t xml:space="preserve">Chỉ tiêu chi tiết </t>
  </si>
  <si>
    <t xml:space="preserve">Nội dung cụ thể </t>
  </si>
  <si>
    <t>Tống Ngọc Khang</t>
  </si>
  <si>
    <t>Đại học Kinh tế Thành phố Hồ Chí Minh - UEH</t>
  </si>
  <si>
    <t xml:space="preserve">Kiểm toán </t>
  </si>
  <si>
    <t>Nguồn thu</t>
  </si>
  <si>
    <t>Trưởng nhóm, Quản lý Giải pháp &amp; Chất lượng</t>
  </si>
  <si>
    <t>Phạm Quốc Thanh</t>
  </si>
  <si>
    <t>Mô tả</t>
  </si>
  <si>
    <t>Đại học Quốc tế - Đại học Quốc gia Thành phố Hồ Chí Minh</t>
  </si>
  <si>
    <t>Đối tác chính (Key Partners)</t>
  </si>
  <si>
    <t>Đối tượng thu</t>
  </si>
  <si>
    <t>Tài chính / AI Products</t>
  </si>
  <si>
    <t>Phí thuê bao (Subscription)</t>
  </si>
  <si>
    <t>Giai đoạn áp dụng</t>
  </si>
  <si>
    <t>Xây dựng Website, Trí tuệ nhân tạo (AI)</t>
  </si>
  <si>
    <t>Ưu tiên</t>
  </si>
  <si>
    <t>Hoạt động chính (Key Activities)</t>
  </si>
  <si>
    <t>Mức thu đề xuất</t>
  </si>
  <si>
    <t>Nguyễn Ngọc Khánh Phương</t>
  </si>
  <si>
    <t>Tuyên bố giá trị (Value Propositions)</t>
  </si>
  <si>
    <t>Trường Đại học Ngoại Thương - Phân hiệu TP.HCM</t>
  </si>
  <si>
    <t>Quan hệ khách hàng (Customer Relationships)</t>
  </si>
  <si>
    <t xml:space="preserve">Doanh thu tháng = Phí thuê bao + Phí sử dụng theo Monthly Active Driver 
Giai đoạn pilot (4–6 tuần): không thu phí — đổi lại nhận dữ liệu vận hành thực tế để hiệu chỉnh thuật toán và làm căn cứ định giá. (này consider nên thu hay không nha)
</t>
  </si>
  <si>
    <t>Product Marketing</t>
  </si>
  <si>
    <t xml:space="preserve"> Phân khúc khách hàng (Customer Segments)</t>
  </si>
  <si>
    <t xml:space="preserve">Lên kế hoạch kinh doanh, ý tưởng kinh doanh </t>
  </si>
  <si>
    <t>Dòng doanh thu</t>
  </si>
  <si>
    <t xml:space="preserve">Nguyễn Hồng Phúc </t>
  </si>
  <si>
    <t xml:space="preserve">Trường đại học FPT Hà Nội </t>
  </si>
  <si>
    <t xml:space="preserve">Tài Chính </t>
  </si>
  <si>
    <t>Quản lý Dự án &amp; Lập kế hoạch Tài chính</t>
  </si>
  <si>
    <t>Phí triển khai &amp; tích hợp</t>
  </si>
  <si>
    <t>Nguyễn Quang Chiến</t>
  </si>
  <si>
    <t>Thu theo tháng, theo quy mô doanh nghiệp. Bao gồm quyền sử dụng nền tảng, dashboard quản lý, tối ưu tuyến và tính năng vận hành cơ bản. Có hạn mức Active Driver nhất định (Monthly Active Driver)</t>
  </si>
  <si>
    <t>- Đơn vị cung cấp hạ tầng cloud/server và API bản đồ/GPS.
- Các chuyên gia vận tải, logistics và đo lường phát thải.
- Hiệp hội logistics và các trường đại học/vườn ươm khởi nghiệp.</t>
  </si>
  <si>
    <t>Đại học Bách Khoa - Đại học Đà Nẵng</t>
  </si>
  <si>
    <t>AI Products</t>
  </si>
  <si>
    <t>Doanh nghiệp vận tải, giao hàng, phân phối</t>
  </si>
  <si>
    <t>Sau pilot (GĐ 2–3)</t>
  </si>
  <si>
    <t>Cốt lõi của ngành</t>
  </si>
  <si>
    <t>Tư vấn &amp; báo cáo ESG</t>
  </si>
  <si>
    <t>Gói Starter (≤10 driver): 1.5 - 2.5 triệu/tháng (giảm rào cản gia nhập).
Gói nhỏ (≤20 driver): 3–5 triệu/tháng
Gói vừa (21–100 driver): 8–15 triệu/tháng
Gói lớn (&gt;100 driver): 20–40 triệu/tháng hoặc theo negotiate
Vượt hạn mức: +50–100k/driver/tháng</t>
  </si>
  <si>
    <t>- Phát triển và nâng cấp nền tảng SaaS tối ưu tuyến đường (VRP).
- Tích hợp dữ liệu giao thông và đo lường phát thải CO_2.
- Vận hành chương trình thử nghiệm (Pilot) cho doanh nghiệp.</t>
  </si>
  <si>
    <t xml:space="preserve">Dự toán chi phí </t>
  </si>
  <si>
    <t>- Giúp doanh nghiệp tự động phân bổ đơn hàng, tối ưu lộ trình và cắt giảm quãng đường chạy rỗng (VRP).
- Kết hợp tối ưu vận hành với đo lường phát thải CO_2.
- Giao diện tiếng Việt dễ sử dụng, chi phí phù hợp cho doanh nghiệp vừa và nhỏ</t>
  </si>
  <si>
    <t>Thu một lần: nhập dữ liệu, đào tạo, tích hợp phần mềm sẵn có</t>
  </si>
  <si>
    <t>Khách hàng mới</t>
  </si>
  <si>
    <t>- Hỗ trợ kỹ thuật trực tiếp và trực tuyến trong quá trình sử dụng phần mềm.
- Đào tạo, hướng dẫn vận hành đơn giản, dễ tiếp cận cho doanh nghiệp và tài xế.
- Tiếp nhận phản hồi từ người dùng để liên tục cải tiến sản phẩm</t>
  </si>
  <si>
    <t>Cốt lõi cho ứng dụng</t>
  </si>
  <si>
    <t xml:space="preserve"> - Doanh nghiệp logistics vừa và nhỏ, đơn vị giao hàng thương mại điện tử (Shopee, TikTok Shop, Viettel Post, GHN).
 - Nhà phân phối thực phẩm, đồ uống (F&amp;B), hàng tiêu dùng, nông sản và hàng lạnh.
 - Siêu thị, nhà hàng, cửa hàng bán lẻ và các đơn vị vận tải nội thành có từ 5–100 phương tiện</t>
  </si>
  <si>
    <t>Cơ bản (nhập data + đào tạo): 10–20 triệu
Có tích hợp API/ERP: 30–80 triệu tùy độ phức tạp
Có thể miễn phí/ giảm 50% cho vài pilot đầu để kéo khách</t>
  </si>
  <si>
    <t xml:space="preserve"> - Phí thuê bao (Subscription) thu theo tháng, tính trên số phương tiện quản lý hoặc số tuyến tối ưu.
 - Phí triển khai và tích hợp thu một lần khi hỗ trợ nhập dữ liệu, đào tạo và kết nối phần mềm.
 - Dịch vụ tư vấn tối ưu chuyên sâu và lập báo cáo phát thải CO_2 (ESG) chuẩn hóa cho doanh nghiệp.
</t>
  </si>
  <si>
    <t>Chỉ tiêu</t>
  </si>
  <si>
    <t>Tư vấn tối ưu chuyên sâu, báo cáo CO₂ chuẩn hóa cho DN xuất khẩu</t>
  </si>
  <si>
    <t>DN có nhu cầu ESG</t>
  </si>
  <si>
    <t>Mở rộng (GĐ 4–5)</t>
  </si>
  <si>
    <t>Bổ sung tùy theo doanh nghiệp cần hay không</t>
  </si>
  <si>
    <t>Báo cáo CO₂ đơn lẻ: 15–30 triệu/báo cáo (chạy module trên phần mềm)
Gói tư vấn theo năm: 100–300 triệu/năm</t>
  </si>
  <si>
    <t>Năm 1 (2027)</t>
  </si>
  <si>
    <t>Phí kết nối đơn chiều về</t>
  </si>
  <si>
    <t>Hoa hồng khi ghép đơn chiều về giữa các DN</t>
  </si>
  <si>
    <t>Mạng lưới logistics tuần hoàn</t>
  </si>
  <si>
    <t>Năm 2 (2028)</t>
  </si>
  <si>
    <t>GĐ 6 (dài hạn)</t>
  </si>
  <si>
    <t>Năm 3 (2029)</t>
  </si>
  <si>
    <t>Có thể phát triển thêm (nếu các đvvc đồng ý từ đầu)</t>
  </si>
  <si>
    <t>Năm 4 (2030)</t>
  </si>
  <si>
    <t>Năm 5 (2031)</t>
  </si>
  <si>
    <t>Nguồn lực chính (Key Resources)</t>
  </si>
  <si>
    <t>10–20% giá trị cước tiết kiệm được (ưu tiên hơn do DN thích hơn), hoặc phí cố định 200–500k/đơn ghép thành công</t>
  </si>
  <si>
    <t>Kênh truyền thông &amp; phân phối (Channels)</t>
  </si>
  <si>
    <t>Cơ cấu chi phí (Cost Structure)</t>
  </si>
  <si>
    <t>Hoa hồng đối tác xanh</t>
  </si>
  <si>
    <t>Giới thiệu khách hàng cho đối tác xe điện/trạm sạc</t>
  </si>
  <si>
    <t>Đối tác sinh thái</t>
  </si>
  <si>
    <t>Mở rộng hệ sinh thái (dài hạn)</t>
  </si>
  <si>
    <t>Tiềm năng cho đvvc có xe điện</t>
  </si>
  <si>
    <t>5–15% giá trị hợp đồng đầu (referral fee), hoặc phí cố định 2–10 triệu/lead chuyển đổi</t>
  </si>
  <si>
    <t xml:space="preserve">Khoản mục chi phí </t>
  </si>
  <si>
    <t>B. Cơ cấu chi phí dự kiến</t>
  </si>
  <si>
    <t xml:space="preserve">Nội dung chi tiết </t>
  </si>
  <si>
    <t>Dự toán (VND)</t>
  </si>
  <si>
    <t>Doanh thu dự kiến</t>
  </si>
  <si>
    <t>C. Nhu cầu vốn theo giai đoạn</t>
  </si>
  <si>
    <t>- Nền tảng công nghệ SaaS (Web &amp; App) tích hợp bản đồ số và thuật toán VRP.
- Hệ thống dashboard phân tích, theo dõi thời gian thực và đo lường phát thải CO_2.
- Dữ liệu phương tiện, tuyến đường và đội ngũ nhân sự kỹ thuật, chuyên gia logistics</t>
  </si>
  <si>
    <t>- Tiếp cận trực tiếp qua chương trình dùng thử miễn phí (4–6 tuần).
- Hợp tác thông qua hiệp hội logistics, hội doanh nghiệp địa phương và sàn TMĐT.
- Truyền thông qua hội thảo chuyên đề ESG và mạng xã hội (LinkedIn, Facebook</t>
  </si>
  <si>
    <t>CHI PHÍ ĐẦU TƯ BAN ĐẦU</t>
  </si>
  <si>
    <t>Nhóm chi phí</t>
  </si>
  <si>
    <t>1. Chi phí đầu tư (CAPEX):
- Lập trình nền tảng (Web + App), UI/UX và thuật toán tối ưu tuyến (VRP).
- Thiết lập hạ tầng server, cơ sở dữ liệu và hệ thống bảo mật.
- Chi phí pháp lý, đăng ký doanh nghiệp, hóa đơn điện tử và nhãn hiệu độc quyền.
2. Chi phí vận hành (OPEX):
- Biến phí API bản đồ, dữ liệu giao thông thời gian thực và cloud hosting.
- Lương nhân sự kỹ thuật, kinh doanh, quản lý và chuyên gia tư vấn.
- Chi phí marketing, chương trình dùng thử (pilot) và quỹ dự phòng rủi ro.</t>
  </si>
  <si>
    <t>Nội dung</t>
  </si>
  <si>
    <t>Giai đoạn phát sinh</t>
  </si>
  <si>
    <t>Chi phí vận hành</t>
  </si>
  <si>
    <t>Giai đoạn</t>
  </si>
  <si>
    <t>Thời gian</t>
  </si>
  <si>
    <t>Nhu cầu vốn chính</t>
  </si>
  <si>
    <t>Mục đích sử dụng</t>
  </si>
  <si>
    <t>Địa bàn / quy mô triển khai</t>
  </si>
  <si>
    <t>Công nghệ &amp; dữ liệu</t>
  </si>
  <si>
    <t>Phí API bản đồ/GPS, dữ liệu giao thông; hạ tầng máy chủ, cơ sở dữ liệu, bảo mật</t>
  </si>
  <si>
    <t>Ngay từ MVP/pilot</t>
  </si>
  <si>
    <t>GĐ 1 – MVP</t>
  </si>
  <si>
    <t>Phát triển sản phẩm/công nghệ</t>
  </si>
  <si>
    <t>Vốn nhỏ / nội bộ</t>
  </si>
  <si>
    <t>Hoàn thiện sản phẩm, kiểm chứng nhu cầu với 3–5 doanh nghiệp</t>
  </si>
  <si>
    <t>TP.HCM (một số quận nội thành)</t>
  </si>
  <si>
    <t>Phát triển sản phẩm</t>
  </si>
  <si>
    <t>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t>
  </si>
  <si>
    <t>Nhân sự lập trình, kiểm thử, hoàn thiện thuật toán VRP</t>
  </si>
  <si>
    <t>Xuyên suốt các giai đoạn</t>
  </si>
  <si>
    <t>GĐ 2 – Pilot TP.HCM</t>
  </si>
  <si>
    <t>2026-2027</t>
  </si>
  <si>
    <t>Vốn hạt giống (seed)</t>
  </si>
  <si>
    <t>Phí API dữ liệu, vận hành thử nghiệm, hỗ trợ 3–5 DN pilot</t>
  </si>
  <si>
    <t>TP.HCM (các quận có mật độ giao hàng cao: Quận 1, 3, Bình Thạnh, Phú Nhuận, Quận 7, Thủ Đức)</t>
  </si>
  <si>
    <t>Vận hành pilot</t>
  </si>
  <si>
    <t>Hỗ trợ kỹ thuật cho DN thử nghiệm, khảo sát, thu thập dữ liệu</t>
  </si>
  <si>
    <t>Giai đoạn pilot</t>
  </si>
  <si>
    <t>GĐ 3 – Tối ưu công nghệ</t>
  </si>
  <si>
    <t>Vốn mở rộng (early-stage)</t>
  </si>
  <si>
    <t>Tuyển chuyên gia VRP/dữ liệu, nâng cấp hạ tầng, tích hợp GPS &amp; bản đồ số</t>
  </si>
  <si>
    <t>TP.HCM (toàn thành phố)</t>
  </si>
  <si>
    <t>Nhân sự chuyên môn bổ sung</t>
  </si>
  <si>
    <t>Chuyên gia VRP, phân tích dữ liệu, đo lường phát thải (theo mục V.2 đã nêu)</t>
  </si>
  <si>
    <t>Từ giai đoạn tối ưu công nghệ</t>
  </si>
  <si>
    <t>GĐ 4–5 – Mở rộng địa bàn &amp; hệ sinh thái</t>
  </si>
  <si>
    <t>2028–2030</t>
  </si>
  <si>
    <t>Vốn tăng trưởng</t>
  </si>
  <si>
    <t>Marketing, mở rộng đội ngũ, tích hợp đối tác (kho, phần mềm bán hàng, sàn TMĐT, trạm sạc)</t>
  </si>
  <si>
    <t>GĐ 4 (2028): Hà Nội (Hoàn Kiếm, Cầu Giấy, Thanh Xuân), Bình Dương (TP. Thủ Dầu Một, Dĩ An), Đà Nẵng (Hải Châu, Cẩm Lệ)
GĐ 5 (2029–2030): Đồng Nai (TP. Biên Hòa), mở rộng vùng ven TP.HCM và Hà Nội; thí điểm liên tỉnh ngắn (TP.HCM – Bình Dương – Đồng Nai; Hà Nội – Hưng Yên – Bắc Ninh)</t>
  </si>
  <si>
    <t>Marketing &amp; tiếp cận khách hàng</t>
  </si>
  <si>
    <t>Hội thảo, truyền thông, hợp tác hiệp hội/đối tác</t>
  </si>
  <si>
    <t>Từ giai đoạn pilot trở đi</t>
  </si>
  <si>
    <t>GĐ 6–7 – Logistics tuần hoàn &amp; liên tỉnh</t>
  </si>
  <si>
    <t>2030–2032+</t>
  </si>
  <si>
    <t>Vốn quy mô lớn / gọi vốn vòng sau</t>
  </si>
  <si>
    <t>Xây dựng mạng lưới liên doanh nghiệp, mở rộng vùng địa lý, phát triển logistics liên tỉnh và xuyên biên giới</t>
  </si>
  <si>
    <t>Vùng kinh tế trọng điểm phía Nam và phía Bắc; các trục logistics liên tỉnh chính; tiến tới kết nối cửa khẩu, cảng biển lớn</t>
  </si>
  <si>
    <t>Vận hành &amp; duy trì hệ thống</t>
  </si>
  <si>
    <t>Chi phí server, hỗ trợ khách hàng, cập nhật bảo trì</t>
  </si>
  <si>
    <t>Khi thương mại hóa</t>
  </si>
  <si>
    <t>Khấu hao</t>
  </si>
  <si>
    <t>Hiệu quả tài chính</t>
  </si>
  <si>
    <t>Hạ tầng kỹ thuật</t>
  </si>
  <si>
    <t>Mua/thiết lập server (nếu không dùng cloud pay-as-you-go)
Thiết lập cơ sở dữ liệu ban đầu
Thiết lập hệ thống bảo mật, mã hóa dữ liệu</t>
  </si>
  <si>
    <t>Lợi nhuận trước thuế</t>
  </si>
  <si>
    <t>Pháp lý &amp; hành chính</t>
  </si>
  <si>
    <t xml:space="preserve">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</si>
  <si>
    <t>Thiết bị &amp; tài sản cố định</t>
  </si>
  <si>
    <t xml:space="preserve">Laptop                
Ghế                
Máy in                
Bàn                
Chi phí đặt cọc thuê văn phòng (3 tháng)             
Thiết bị demo (nếu cần trình diễn cho khách hàng pilot)                            </t>
  </si>
  <si>
    <t>Nghiên cứu &amp; phát triển ban đầu</t>
  </si>
  <si>
    <t>Chi phí khảo sát thị trường, phỏng vấn doanh nghiệp (trước khi build)
Chi phí thuê chuyên gia tư vấn thiết kế hệ thống (one-time)</t>
  </si>
  <si>
    <t>Hạng mục (VNĐ)</t>
  </si>
  <si>
    <t>2027 (Năm 1)</t>
  </si>
  <si>
    <t>2028 (Năm 2)</t>
  </si>
  <si>
    <t>2029 (Năm 3)</t>
  </si>
  <si>
    <t>2030 (Năm 4)</t>
  </si>
  <si>
    <t>2031 (Năm 5)</t>
  </si>
  <si>
    <t>Tổng</t>
  </si>
  <si>
    <t xml:space="preserve">CHI PHÍ VẬN HÀNH </t>
  </si>
  <si>
    <t>A. DÒNG TIỀN TỪ HĐKD</t>
  </si>
  <si>
    <r>
      <rPr>
        <rFont val="'Times New Roman',serif"/>
        <b/>
        <color rgb="FF000000"/>
        <sz val="12.0"/>
      </rPr>
      <t>CAPEX (đầu tư ban đầu - một lần)</t>
    </r>
    <r>
      <rPr>
        <rFont val="'Times New Roman',serif"/>
        <color rgb="FF000000"/>
        <sz val="12.0"/>
      </rPr>
      <t xml:space="preserve">
</t>
    </r>
    <r>
      <rPr>
        <rFont val="'Times New Roman',serif"/>
        <b/>
        <i/>
        <color rgb="FF000000"/>
        <sz val="12.0"/>
      </rPr>
      <t>1. Phát triển sản phẩm/công nghệ</t>
    </r>
    <r>
      <rPr>
        <rFont val="'Times New Roman',serif"/>
        <color rgb="FF000000"/>
        <sz val="12.0"/>
      </rPr>
      <t xml:space="preserve">
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
</t>
    </r>
    <r>
      <rPr>
        <rFont val="'Times New Roman',serif"/>
        <b/>
        <i/>
        <color rgb="FF000000"/>
        <sz val="12.0"/>
      </rPr>
      <t>2. Hạ tầng kỹ thuật</t>
    </r>
    <r>
      <rPr>
        <rFont val="'Times New Roman',serif"/>
        <color rgb="FF000000"/>
        <sz val="12.0"/>
      </rPr>
      <t xml:space="preserve">
Mua/thiết lập server (nếu không dùng cloud pay-as-you-go)
Thiết lập cơ sở dữ liệu ban đầu
Thiết lập hệ thống bảo mật, mã hóa dữ liệu
</t>
    </r>
    <r>
      <rPr>
        <rFont val="'Times New Roman',serif"/>
        <b/>
        <i/>
        <color rgb="FF000000"/>
        <sz val="12.0"/>
      </rPr>
      <t>3. Pháp lý &amp; hành chính</t>
    </r>
    <r>
      <rPr>
        <rFont val="'Times New Roman',serif"/>
        <color rgb="FF000000"/>
        <sz val="12.0"/>
      </rPr>
      <t xml:space="preserve">
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r>
    <r>
      <rPr>
        <rFont val="'Times New Roman',serif"/>
        <b/>
        <i/>
        <color rgb="FF000000"/>
        <sz val="12.0"/>
      </rPr>
      <t>4. Thiết bị &amp; tài sản cố định</t>
    </r>
    <r>
      <rPr>
        <rFont val="'Times New Roman',serif"/>
        <color rgb="FF000000"/>
        <sz val="12.0"/>
      </rPr>
      <t xml:space="preserve">
"Laptop                
Ghế                
Máy in                
Bàn                
Chi phí đặt cọc thuê văn phòng (3 tháng)               
Thiết b</t>
    </r>
    <r>
      <rPr>
        <rFont val="'Times New Roman',serif"/>
        <b/>
        <color rgb="FF000000"/>
        <sz val="12.0"/>
      </rPr>
      <t>ị demo (nếu cần trình diễn cho khá</t>
    </r>
    <r>
      <rPr>
        <rFont val="'Times New Roman',serif"/>
        <color rgb="FF000000"/>
        <sz val="12.0"/>
      </rPr>
      <t>ch hàng pilot)                            "      
5. Nghiên cứu &amp; phát triển ban đầu
Chi phí khảo sát thị trường, phỏng vấn doanh n</t>
    </r>
    <r>
      <rPr>
        <rFont val="'Times New Roman',serif"/>
        <b/>
        <i/>
        <color rgb="FF000000"/>
        <sz val="12.0"/>
      </rPr>
      <t>ghiệp (trước khi build)
Chi p</t>
    </r>
    <r>
      <rPr>
        <rFont val="'Times New Roman',serif"/>
        <color rgb="FF000000"/>
        <sz val="12.0"/>
      </rPr>
      <t>hí thuê chuyên gia tư vấn thiết kế hệ thống (one-time)
OPEX (vận hành - định kỳ theo tháng/quý)
1. Chi phí công nghệ vận hành
Phí API bản đồ (Google Maps/Mapbox/HERE...) theo lượt gọi
Phí dữ liệu giao thông thời gian thực
Phí hosting/cloud ser</t>
    </r>
    <r>
      <rPr>
        <rFont val="'Times New Roman',serif"/>
        <b/>
        <i/>
        <color rgb="FF000000"/>
        <sz val="12.0"/>
      </rPr>
      <t xml:space="preserve">ver (AWS, </t>
    </r>
    <r>
      <rPr>
        <rFont val="'Times New Roman',serif"/>
        <color rgb="FF000000"/>
        <sz val="12.0"/>
      </rPr>
      <t>GCP, Azure...)
Phí lưu trữ dữ liệu (storage)
Phí duy trì bảo mật, SSL, backup định kỳ
Phí bảo trì, sửa lỗi hệ thống
2. Nhân sự
"Lương nhân viên kỹ thuật (dev, duy trì hệ thống)
Lương nhân viên kinh doanh/sales
Lương nhân viên chăm sóc hành chính - nhân sự 
Lương quản lý dự án
Lương chuyên gia tư vấ</t>
    </r>
    <r>
      <rPr>
        <rFont val="'Times New Roman',serif"/>
        <b/>
        <i/>
        <color rgb="FF000000"/>
        <sz val="12.0"/>
      </rPr>
      <t>n dài hạn (logistics, đo lườ</t>
    </r>
    <r>
      <rPr>
        <rFont val="'Times New Roman',serif"/>
        <color rgb="FF000000"/>
        <sz val="12.0"/>
      </rPr>
      <t xml:space="preserve">ng CO₂, VRP) 
Lương nhân viên kế toán
Bảo hiểm xã hội, phúc lợi nhân viên (nếu tuyển chính thức)"
3. Vận hành pilot/khách hàng
Chi phí hỗ trợ kỹ thuật onsite/online cho DN thử nghiệm
Chi phí đào tạo, hướng dẫn sử dụng cho DN và tài xế
Chi phí </t>
    </r>
    <r>
      <rPr>
        <rFont val="'Times New Roman',serif"/>
        <b/>
        <i/>
        <color rgb="FF000000"/>
        <sz val="12.0"/>
      </rPr>
      <t>thu thập, làm sạch, hiệ</t>
    </r>
    <r>
      <rPr>
        <rFont val="'Times New Roman',serif"/>
        <color rgb="FF000000"/>
        <sz val="12.0"/>
      </rPr>
      <t>u chỉnh dữ liệu thực tế
Chi phí chương trình dùng thử miễn phí (coi là chi phí "customer acquisition")
4. Marketing &amp; bán hàng
Quảng cáo online (Facebook, LinkedIn, Google Ads)
Chi phí tham gia hội thảo, triển lãm logist</t>
    </r>
    <r>
      <rPr>
        <rFont val="'Times New Roman',serif"/>
        <b/>
        <i/>
        <color rgb="FF000000"/>
        <sz val="12.0"/>
      </rPr>
      <t>ics/ESG
Chi phí sản xuất nội dung</t>
    </r>
    <r>
      <rPr>
        <rFont val="'Times New Roman',serif"/>
        <color rgb="FF000000"/>
        <sz val="12.0"/>
      </rPr>
      <t xml:space="preserve"> truyền thông (video, bài viết, case study)
Chi phí quà tặng/khuyến mãi cho khách hàng pilot
5. Chi phí văn phòng &amp; hành chính
Thuê vă</t>
    </r>
    <r>
      <rPr>
        <rFont val="'Times New Roman',serif"/>
        <b/>
        <i/>
        <color rgb="FF000000"/>
        <sz val="12.0"/>
      </rPr>
      <t>n phòng (nếu có), điện, nước, internet</t>
    </r>
    <r>
      <rPr>
        <rFont val="'Times New Roman',serif"/>
        <color rgb="FF000000"/>
        <sz val="12.0"/>
      </rPr>
      <t xml:space="preserve">
Công cụ làm việc: Google Workspace, Slack, Zoom</t>
    </r>
    <r>
      <rPr>
        <rFont val="'Times New Roman',serif"/>
        <b/>
        <i/>
        <color rgb="FF000000"/>
        <sz val="12.0"/>
      </rPr>
      <t xml:space="preserve">
Văn phòng phẩm</t>
    </r>
    <r>
      <rPr>
        <rFont val="'Times New Roman',serif"/>
        <color rgb="FF000000"/>
        <sz val="12.0"/>
      </rPr>
      <t xml:space="preserve">
6. Chi phí đo</t>
    </r>
    <r>
      <rPr>
        <rFont val="'Times New Roman',serif"/>
        <b/>
        <i/>
        <color rgb="FF000000"/>
        <sz val="12.0"/>
      </rPr>
      <t xml:space="preserve"> lường &amp; báo cáo
C</t>
    </r>
    <r>
      <rPr>
        <rFont val="'Times New Roman',serif"/>
        <color rgb="FF000000"/>
        <sz val="12.0"/>
      </rPr>
      <t xml:space="preserve">ông cụ/phần mềm đo lường CO₂ (nếu thuê ngoài thay vì tự xây)
Chi phí lập báo cáo ESG định kỳ cho khách hàng
7. Dự phòng rủi ro
Quỹ dự phòng phát sinh (thường 10% tổng OPEX)
</t>
    </r>
  </si>
  <si>
    <t>Chi phí công nghệ vận hành</t>
  </si>
  <si>
    <t>Phí API bản đồ (Google Maps/Mapbox/HERE...) theo lượt gọi
Phí dữ liệu giao thông thời gian thực
Phí hosting/cloud server (AWS, GCP, Azure...)
Phí lưu trữ dữ liệu (storage)
Phí duy trì bảo mật, SSL, backup định kỳ
Phí bảo trì, sửa lỗi hệ thống</t>
  </si>
  <si>
    <t>1. Doanh thu dự kiến</t>
  </si>
  <si>
    <t>Nhân sự</t>
  </si>
  <si>
    <t>Lương nhân viên kỹ thuật (dev, duy trì hệ thống)
Lương nhân viên kinh doanh/sales
Lương nhân viên chăm sóc hành chính - nhân sự 
Lương quản lý dự án
Lương chuyên gia tư vấn dài hạn (logistics, đo lường CO₂, VRP) 
Lương nhân viên kế toán
Bảo hiểm xã hội, phúc lợi nhân viên (nếu tuyển chính thức)</t>
  </si>
  <si>
    <t>2. Chi phí vận hành</t>
  </si>
  <si>
    <t>Vận hành pilot/khách hàng</t>
  </si>
  <si>
    <t>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t>
  </si>
  <si>
    <t>3. Thuế TNDN (20%)</t>
  </si>
  <si>
    <t>Marketing &amp; bán hàng</t>
  </si>
  <si>
    <t>Quảng cáo online (Facebook, LinkedIn, Google Ads)
Chi phí tham gia hội thảo, triển lãm logistics/ESG
Chi phí sản xuất nội dung truyền thông (video, bài viết, case study)
Chi phí quà tặng/khuyến mãi cho khách hàng pilot</t>
  </si>
  <si>
    <t>Dòng thuần HĐKD (CFO)</t>
  </si>
  <si>
    <t>Chi phí văn phòng &amp; hành chính</t>
  </si>
  <si>
    <t>Thuê văn phòng , điện, nước, internet
Công cụ làm việc: Google Workspace, Slack, Zoom
Văn phòng phẩm</t>
  </si>
  <si>
    <t>B. DÒNG TIỀN TỪ HĐĐT</t>
  </si>
  <si>
    <t>Chi phí đo lường &amp; báo cáo</t>
  </si>
  <si>
    <t>Công cụ/phần mềm đo lường CO₂ (nếu thuê ngoài thay vì tự xây)
Chi phí lập báo cáo ESG định kỳ cho khách hàng</t>
  </si>
  <si>
    <t>1. Vốn đầu tư ban đầu</t>
  </si>
  <si>
    <t>Dự phòng rủi ro</t>
  </si>
  <si>
    <t>Quỹ dự phòng phát sinh (thường 10% tổng OPEX)</t>
  </si>
  <si>
    <t>Dòng thuần HĐĐT (CFI)</t>
  </si>
  <si>
    <t>C. TỔNG DÒNG TIỀN THUẦN</t>
  </si>
  <si>
    <t>Chi phí vốn ước tính</t>
  </si>
  <si>
    <t>Thời gian hoàn vốn</t>
  </si>
  <si>
    <t>CAPEX</t>
  </si>
  <si>
    <t>Thời gian hoàn vốn có chiết khấu</t>
  </si>
  <si>
    <t>NPV - Giá trị hiện tại ròng</t>
  </si>
  <si>
    <t>IRR - Tỷ suất hoàn vốn nội bộ</t>
  </si>
  <si>
    <t>Name of Capitals</t>
  </si>
  <si>
    <t>Units</t>
  </si>
  <si>
    <t>Quantity</t>
  </si>
  <si>
    <t>Price (VND)</t>
  </si>
  <si>
    <t>Total (VND)</t>
  </si>
  <si>
    <t>Note</t>
  </si>
  <si>
    <t>1. Phát triển sản phẩm/công nghệ</t>
  </si>
  <si>
    <t>Chi phí lập trình xây dựng nền tảng (web + app di động cho tài xế)</t>
  </si>
  <si>
    <t>Gói MVP</t>
  </si>
  <si>
    <t>Xây dựng Web Điều phối + App di động Flutter cho tài xế (3-4 tháng MVP, 2 dev core)</t>
  </si>
  <si>
    <t>Chi phí thiết kế UI/UX</t>
  </si>
  <si>
    <t>Gói thiết kế</t>
  </si>
  <si>
    <t>Hệ thống Figma: Web Portal Điều phối, App Tài xế, Dashboard Báo cáo CO2</t>
  </si>
  <si>
    <t>Chi phí xây dựng thuật toán tối ưu tuyến (VRP) ban đầu</t>
  </si>
  <si>
    <t>Module Core</t>
  </si>
  <si>
    <t>Giải thuật VRPTW đa điểm kết hợp ràng buộc tải trọng xe, khung giờ giao &amp; tình trạng giao thông</t>
  </si>
  <si>
    <t>Chi phí tích hợp API bản đồ/GPS/giao thông lần đầu (setup fee nếu có)</t>
  </si>
  <si>
    <t>Lần tích hợp</t>
  </si>
  <si>
    <t>Setup fee, SDK integration, Webhook kết nối dữ liệu GPS và API bản đồ Goong/Mapbox</t>
  </si>
  <si>
    <t>Chi phí xây dựng dashboard phân tích, báo cáo CO₂</t>
  </si>
  <si>
    <t>Module Dashboard</t>
  </si>
  <si>
    <t>Dashboard phân tích phát thải chuẩn GLEC Framework v3.0 / ISO 14083:2023 / GHG Protocol</t>
  </si>
  <si>
    <t>Chi phí kiểm thử (QA/testing) trước khi ra mắt</t>
  </si>
  <si>
    <t>Gói QA/QC</t>
  </si>
  <si>
    <t>Manual QA test kịch bản bưu cục + Automated Load Testing 500 CCU tài xế</t>
  </si>
  <si>
    <t>2. Hạ tầng kỹ thuật</t>
  </si>
  <si>
    <t>Mua/thiết lập server (nếu không dùng cloud pay-as-you-go)</t>
  </si>
  <si>
    <t>Gói setup</t>
  </si>
  <si>
    <t>Khởi tạo cụm Docker/K8s, VPC mạng riêng an toàn, CI/CD GitHub Actions deploy</t>
  </si>
  <si>
    <t>Thiết lập cơ sở dữ liệu ban đầu</t>
  </si>
  <si>
    <t>Gói CSDL</t>
  </si>
  <si>
    <t>PostgreSQL + PostGIS (GIS spatial routing engine) + Redis Caching</t>
  </si>
  <si>
    <t>Thiết lập hệ thống bảo mật, mã hóa dữ liệu</t>
  </si>
  <si>
    <t>Gói bảo mật</t>
  </si>
  <si>
    <t>Tuân thủ NĐ 13/2023/NĐ-CP bảo vệ dữ liệu cá nhân, SSL EV Wildcard, Cloudflare WAF</t>
  </si>
  <si>
    <t>3. Pháp lý &amp; hành chính</t>
  </si>
  <si>
    <t xml:space="preserve">Chi phí mở tài khoản ngân hàng doanh nghiệp </t>
  </si>
  <si>
    <t>Tài khoản</t>
  </si>
  <si>
    <t xml:space="preserve">OPEX </t>
  </si>
  <si>
    <t>Chi phí khởi tạo và cài đặt phần mềm hóa đơn điện tử</t>
  </si>
  <si>
    <t>Lần</t>
  </si>
  <si>
    <t>Phí cung cấp thông tin doanh nghiệp</t>
  </si>
  <si>
    <t>Chi phí mua chữ ký số khai thuế</t>
  </si>
  <si>
    <t>Gói</t>
  </si>
  <si>
    <t>Chữ ký số VINA-CA ( Gói 3 năm )</t>
  </si>
  <si>
    <t>Total / tháng</t>
  </si>
  <si>
    <t>Chi phí khắc con dấu và đăng cáo mẫu dấu</t>
  </si>
  <si>
    <t>Total / năm (VND)</t>
  </si>
  <si>
    <t>Bộ</t>
  </si>
  <si>
    <t xml:space="preserve">Lương nhân viên </t>
  </si>
  <si>
    <t>Chi phí làm biển hiệu</t>
  </si>
  <si>
    <t>Cái</t>
  </si>
  <si>
    <t>1 Chi phí công nghệ vận hành</t>
  </si>
  <si>
    <t>Phí sử dụng hóa đơn điện tử</t>
  </si>
  <si>
    <t>Hóa đơn</t>
  </si>
  <si>
    <t>Name of capitals</t>
  </si>
  <si>
    <t>Quantiy</t>
  </si>
  <si>
    <t>Chi phí soạn thảo hợp đồng với đối tác dữ liệu bản đồ/GPS</t>
  </si>
  <si>
    <t>Cost/month (VND)</t>
  </si>
  <si>
    <t>Total Cost/month (VND)</t>
  </si>
  <si>
    <t>Bảo hiểm (VND)</t>
  </si>
  <si>
    <t>Total</t>
  </si>
  <si>
    <t>Phí API bản đồ (Google Maps/Mapbox/HERE) theo lượt gọi</t>
  </si>
  <si>
    <r>
      <rPr>
        <rFont val="Times New Roman"/>
        <color rgb="FF1155CC"/>
        <u/>
      </rPr>
      <t>https://amis.misa.vn/136043/chi-phi-khi-thanh-lap-doanh-nghiep/</t>
    </r>
    <r>
      <rPr>
        <rFont val="Times New Roman"/>
      </rPr>
      <t xml:space="preserve">  
</t>
    </r>
    <r>
      <rPr>
        <rFont val="Times New Roman"/>
        <color rgb="FF1155CC"/>
        <u/>
      </rPr>
      <t>https://luatvietan.vn/chi-phi-thanh-lap-cong-ty.html</t>
    </r>
    <r>
      <rPr>
        <rFont val="Times New Roman"/>
      </rPr>
      <t xml:space="preserve">
</t>
    </r>
    <r>
      <rPr>
        <rFont val="Times New Roman"/>
        <color rgb="FF1155CC"/>
        <u/>
      </rPr>
      <t>https://ketoananpha.vn/dich-vu-dang-ky-thuong-hieu.html
https://luatsudfc.vn/phi-dich-vu-tu-van-soan-thao-hop-dong.html?
https://chukysotot.com/bang-gia-chu-ky-so-cap-nhat-moi-nhat/</t>
    </r>
  </si>
  <si>
    <t>Tháng</t>
  </si>
  <si>
    <t>DAU TB 57-171 (User_acquisition_plan), ~100k-150k routing calls/tháng</t>
  </si>
  <si>
    <t>Phí dịch vụ đăng ký logo độc quyền, bản quyền thương hiệu, nhãn hiệu</t>
  </si>
  <si>
    <t>A1 Hệ số quy mô OPEX giai đoạn đầu (so với năm liền sau, do quy mô đội ngũ/khách hàng còn nhỏ)</t>
  </si>
  <si>
    <t xml:space="preserve">Lệ phí nộp nhà nước đăng ký độc quyền thương hiệu </t>
  </si>
  <si>
    <t>Phí dữ liệu giao thông thời gian thực</t>
  </si>
  <si>
    <t>Hồ sơ</t>
  </si>
  <si>
    <t>Lệ phí nộp đơn đăng ký thương hiệu - 150.000 đồng;
Lệ phí công bố đơn đăng ký - 120.000 đồng;
Phí tra cứu thông tin nhằm phục vụ việc thẩm định - 180.000 đồng;
Phí thẩm định đơn đăng ký - 550.000 đồng.</t>
  </si>
  <si>
    <t>API dữ liệu giao thông thời gian thực (Traffic layer &amp; congestion)</t>
  </si>
  <si>
    <t>Tư vấn pháp lý ban đầu</t>
  </si>
  <si>
    <t>Nhân viên kỹ thuật (dev, duy trì hệ thống)</t>
  </si>
  <si>
    <t>4. Thiết bị &amp; tài sản cố định</t>
  </si>
  <si>
    <t>Laptop</t>
  </si>
  <si>
    <t>Bộ thiết bị</t>
  </si>
  <si>
    <t>2 Laptop chuyên dụng dev/test phục vụ build môi trường và phân tích dữ liệu</t>
  </si>
  <si>
    <t>Ghế</t>
  </si>
  <si>
    <t>Máy in</t>
  </si>
  <si>
    <t>https://www.dienmayxanh.com/may-in/laser-brother-dcpb7620dw</t>
  </si>
  <si>
    <t>Doanh nghiệp có trách nhiệm đóng tổng cộng 215% bảo hiểm Bao gồm tất cả các khoản BHXH, BHYT, BHTN, và kinh phí công đoàn</t>
  </si>
  <si>
    <t>Bàn</t>
  </si>
  <si>
    <t>Năm</t>
  </si>
  <si>
    <t>Chi phí đặt cọc thuê văn phòng</t>
  </si>
  <si>
    <t>Hệ số so với năm liền sau</t>
  </si>
  <si>
    <t>m²</t>
  </si>
  <si>
    <t>Giai đoạn / Diễn giải</t>
  </si>
  <si>
    <t>Cọc 3 tháng</t>
  </si>
  <si>
    <t>Phí hosting/cloud server (AWS, GCP, Azure)</t>
  </si>
  <si>
    <t>Thiết bị demo (nếu cần trình diễn cho khách hàng pilot)</t>
  </si>
  <si>
    <t>Chiếc</t>
  </si>
  <si>
    <t>2 Cụm máy chủ ứng dụng (Web Dispatch + Driver API Backend + Load Balancer)</t>
  </si>
  <si>
    <t>Nhân viên kinh doanh/sales</t>
  </si>
  <si>
    <t>2 Smartphone/Tablet cấu hình chuẩn test app tài xế onsite tại bưu cục pilot</t>
  </si>
  <si>
    <t>5. Nghiên cứu &amp; phát triển ban đầu</t>
  </si>
  <si>
    <t>Chi phí khảo sát thị trường, phỏng vấn doanh nghiệp (trước khi build)</t>
  </si>
  <si>
    <t>Đợt khảo sát</t>
  </si>
  <si>
    <t>GĐ1 - MVP: đội ngũ lõi nhỏ, xây sản phẩm nội bộ, chưa có KH trả phí, TPHCM (một số quận nội thành)</t>
  </si>
  <si>
    <t>Chi phí đi lại, khảo sát thực tế và phỏng vấn 15-20 chủ bưu cục/quản lý vận tải TP.HCM</t>
  </si>
  <si>
    <t>Phí lưu trữ dữ liệu (storage)</t>
  </si>
  <si>
    <t>Chi phí thuê chuyên gia tư vấn thiết kế hệ thống (one-time)</t>
  </si>
  <si>
    <t>Hợp đồng tư vấn</t>
  </si>
  <si>
    <t>Managed PostgreSQL/PostGIS Database + S3 Object Storage lưu trữ lịch sử chuyến</t>
  </si>
  <si>
    <t>Nhân viên hành chính - nhân sự</t>
  </si>
  <si>
    <t>Tư vấn từ chuyên gia Logistics VLA và chuyên gia giải thuật VRP</t>
  </si>
  <si>
    <t>GĐ2 - Pilot TPHCM (2026-2027): vốn hạt giống, hỗ trợ 3-5 DN pilot, Q1/3/Bình Thạnh/Phú Nhuận/Q7/Thủ Đức</t>
  </si>
  <si>
    <t>Phí duy trì bảo mật, SSL, backup định kỳ</t>
  </si>
  <si>
    <t>Chứng chỉ SSL định kỳ, sao lưu CSDL tự động hàng ngày, Cloudflare Security Pro</t>
  </si>
  <si>
    <t>Quản lý dự án</t>
  </si>
  <si>
    <t>Phí bảo trì, sửa lỗi hệ thống</t>
  </si>
  <si>
    <t>Giám sát lỗi tự động (Sentry), APM performance monitoring, bảo trì định kỳ</t>
  </si>
  <si>
    <t xml:space="preserve">Chuyên gia tư vấn dài hạn (logistics, đo lường CO₂, VRP) </t>
  </si>
  <si>
    <t>A2 Giả định tăng trưởng OPEX theo giai đoạn mở rộng (%/năm so với năm liền trước, từ nền 2028)</t>
  </si>
  <si>
    <t>2 Nhân sự</t>
  </si>
  <si>
    <t>Kế toán</t>
  </si>
  <si>
    <t>2029 (GĐ4 - mở rộng HN/Bình Dương/Đà Nẵng)</t>
  </si>
  <si>
    <t>2030 (GĐ5 - Đồng Nai, thí điểm liên tỉnh)</t>
  </si>
  <si>
    <t>2031 (GĐ6-7 - Logistics tuần hoàn, dài hạn)</t>
  </si>
  <si>
    <t>Lương nhân viên kỹ thuật (dev, duy trì hệ thống)</t>
  </si>
  <si>
    <t>Người</t>
  </si>
  <si>
    <t xml:space="preserve">Total đã tính cả BH cho nhân viên </t>
  </si>
  <si>
    <t xml:space="preserve">TOTAL </t>
  </si>
  <si>
    <t>Lương nhân viên kinh doanh/sales</t>
  </si>
  <si>
    <t xml:space="preserve">Lương nhân viên chăm sóc hành chính - nhân sự </t>
  </si>
  <si>
    <t>3 Vận hành pilot/khách hàng</t>
  </si>
  <si>
    <t>Lương quản lý dự án</t>
  </si>
  <si>
    <t>4 Marketing &amp; bán hàng</t>
  </si>
  <si>
    <t>5 Chi phí văn phòng &amp; hành chính</t>
  </si>
  <si>
    <t>6 Chi phí đo lường &amp; báo cáo</t>
  </si>
  <si>
    <t>Chi phí hỗ trợ kỹ thuật onsite/online cho DN thử nghiệm</t>
  </si>
  <si>
    <t>Xăng xe, phụ cấp công tác trực tiếp tại các bưu cục thử nghiệm (2-4 bưu cục)</t>
  </si>
  <si>
    <t>B OPEX theo năm 2026-2031 (VND)</t>
  </si>
  <si>
    <t>Chi phí đào tạo, hướng dẫn sử dụng cho DN và tài xế</t>
  </si>
  <si>
    <t>In ấn tài liệu hướng dẫn nhanh, tổ chức các buổi đào tạo thực địa cho tài xế</t>
  </si>
  <si>
    <t>2026 (Năm 0)</t>
  </si>
  <si>
    <t>Chi phí thu thập, làm sạch, hiệu chỉnh dữ liệu thực tế</t>
  </si>
  <si>
    <t>Xử lý chuẩn hóa địa chỉ đơn hàng và hiệu chỉnh thông số tiêu hao nhiên liệu xe</t>
  </si>
  <si>
    <t>Chi phí chương trình dùng thử miễn phí (coi là chi phí "customer acquisition")</t>
  </si>
  <si>
    <t>Chi phí hỗ trợ/trợ giá dùng thử trong 4-6 tuần đầu để thu thập dữ liệu pilot</t>
  </si>
  <si>
    <t>Quảng cáo online (Facebook, LinkedIn, Google Ads)</t>
  </si>
  <si>
    <t>Chạy chiến dịch digital marketing nhắm vào nhóm quản lý chuỗi cung ứng/logistics</t>
  </si>
  <si>
    <t>Chi phí tham gia hội thảo, triển lãm logistics/ESG</t>
  </si>
  <si>
    <t>Phân bổ chi phí tham dự các diễn đàn logistics xanh, triển lãm VLA, Green Expo</t>
  </si>
  <si>
    <t>Chi phí sản xuất nội dung truyền thông (video, bài viết, case study)</t>
  </si>
  <si>
    <t>Sản xuất video giới thiệu tính năng, bài viết case study chứng minh hiệu quả tiết kiệm</t>
  </si>
  <si>
    <t>Chi phí quà tặng/khuyến mãi cho khách hàng pilot</t>
  </si>
  <si>
    <t>Quà lưu niệm, tài trợ vật phẩm cho các bưu cục và tài xế tham gia pilot</t>
  </si>
  <si>
    <t>Cộng (trước dự phòng)</t>
  </si>
  <si>
    <t>7 Dự phòng rủi ro</t>
  </si>
  <si>
    <t xml:space="preserve">Chi phí thuê mặt bằng </t>
  </si>
  <si>
    <t>TỔNG OPEX NĂM</t>
  </si>
  <si>
    <t>Tiền điện</t>
  </si>
  <si>
    <t>kWh</t>
  </si>
  <si>
    <t>Tiền nước</t>
  </si>
  <si>
    <t>m³</t>
  </si>
  <si>
    <t>Tiền Internet</t>
  </si>
  <si>
    <t>Công cụ làm việc: Google Workspace, Slack, Zoom</t>
  </si>
  <si>
    <t>Bản quyền Google Workspace Business, Slack Pro, Notion, Jira cho 5-8 tài khoản</t>
  </si>
  <si>
    <t>Văn phòng phẩm</t>
  </si>
  <si>
    <t>Giấy in, bút, vật dụng văn phòng thiết yếu</t>
  </si>
  <si>
    <t>Công cụ/phần mềm đo lường CO₂ (nếu thuê ngoài thay vì tự xây)</t>
  </si>
  <si>
    <t>Cập nhật hệ số phát thải (Emission Factors) chuẩn quốc tế GLEC/IPCC từ cơ sở dữ liệu</t>
  </si>
  <si>
    <t>Chi phí lập báo cáo ESG định kỳ cho khách hàng</t>
  </si>
  <si>
    <t>Xuất báo cáo định lượng CO₂ tiết giảm và chứng nhận phát thải xanh cho khách hàng B2B</t>
  </si>
  <si>
    <t>Tổng chi phí vận hành 1 tháng</t>
  </si>
  <si>
    <t>TỔNG</t>
  </si>
  <si>
    <t>COGS = Chi phí công nghệ vận hành biến đổi theo mức sử dụng hệ thống (API bản đồ, dữ liệu giao thông, hosting, storage, bảo mật, bảo trì) Không gồm nhân sự/marketing/văn phòng (các khoản này là OPEX - SG&amp;A)</t>
  </si>
  <si>
    <t>A Chi tiết khoản mục COGS (nền 2028, link trực tiếp tới sheet OPEX)</t>
  </si>
  <si>
    <t>Khoản mục</t>
  </si>
  <si>
    <t>Đơn vị</t>
  </si>
  <si>
    <t>Số lượng</t>
  </si>
  <si>
    <t>Đơn giá (VND)</t>
  </si>
  <si>
    <t>Total/tháng (VND)</t>
  </si>
  <si>
    <t>Total/năm (VND)</t>
  </si>
  <si>
    <t>TỔNG (nền 2028)</t>
  </si>
  <si>
    <t>B Hệ số quy mô &amp; tăng trưởng theo năm (link OPEX - Bảng A1, A2)</t>
  </si>
  <si>
    <t>Loại hệ số</t>
  </si>
  <si>
    <t>Giá trị</t>
  </si>
  <si>
    <t>Hệ số quy mô (so với 2027)</t>
  </si>
  <si>
    <t>Hệ số quy mô (so với 2028)</t>
  </si>
  <si>
    <t>Nền gốc (100%)</t>
  </si>
  <si>
    <t>Tăng trưởng (so với 2028)</t>
  </si>
  <si>
    <t>Tăng trưởng (so với 2029)</t>
  </si>
  <si>
    <t>Tăng trưởng (so với 2030)</t>
  </si>
  <si>
    <t>C COGS theo năm 2026-2031 (VND)</t>
  </si>
  <si>
    <t>COGS</t>
  </si>
  <si>
    <t xml:space="preserve">DEPRECIATION </t>
  </si>
  <si>
    <t>No</t>
  </si>
  <si>
    <t>Hạng mục khấu hao</t>
  </si>
  <si>
    <t>Giá trị đầu tư (VND)</t>
  </si>
  <si>
    <t>Thời gian (năm)</t>
  </si>
  <si>
    <t>Khấu hao năm</t>
  </si>
  <si>
    <t>Khấu hao tháng</t>
  </si>
  <si>
    <t>Thiết bị điện tử văn phòng - khung khấu hao 3-5 năm theo TT45/2013/TT-BTC, chọn 3 năm</t>
  </si>
  <si>
    <t>Thiết bị/dụng cụ quản lý (nội thất) - khung khấu hao 5-10 năm theo TT45/2013/TT-BTC, chọn 5 năm</t>
  </si>
  <si>
    <t>Thiết bị demo (smartphone/tablet)</t>
  </si>
  <si>
    <t>Thiết bị điện tử - khung khấu hao 3-5 năm theo TT45/2013/TT-BTC, chọn 3 năm</t>
  </si>
  <si>
    <t xml:space="preserve">Income Statement </t>
  </si>
  <si>
    <t>Công thức: Doanh thu tháng = Phí thuê bao (Subscription) + Phí sử dụng theo Monthly Active Driver (MAD)</t>
  </si>
  <si>
    <t>Income Statement 2027</t>
  </si>
  <si>
    <t>A Giả định đầu vào (driver)</t>
  </si>
  <si>
    <t>No,</t>
  </si>
  <si>
    <t>Năm 2027 (VND)</t>
  </si>
  <si>
    <t>Năm 2028 (VND)</t>
  </si>
  <si>
    <t>Năm 2029 (VND)</t>
  </si>
  <si>
    <t>Năm 2030 (VND)</t>
  </si>
  <si>
    <t>Năm 2031 (VND)</t>
  </si>
  <si>
    <t>Doanh thu (VND)</t>
  </si>
  <si>
    <t>COGS (VND)</t>
  </si>
  <si>
    <t>OPEX (VND)</t>
  </si>
  <si>
    <t>Khấu hao/tháng (VND)</t>
  </si>
  <si>
    <t>Số DN khách hàng trả phí (cuối năm)</t>
  </si>
  <si>
    <t>EBIT (VND)</t>
  </si>
  <si>
    <t>Thuế (20%)</t>
  </si>
  <si>
    <t>Lợi nhuận ròng (VND)</t>
  </si>
  <si>
    <t>Doanh thu thuần (Net Revenue)</t>
  </si>
  <si>
    <t>Số DN khách hàng trả phí (trung bình trong năm)</t>
  </si>
  <si>
    <t>0,0</t>
  </si>
  <si>
    <t>2,0</t>
  </si>
  <si>
    <t>11,0</t>
  </si>
  <si>
    <t>26,5</t>
  </si>
  <si>
    <t>47,5</t>
  </si>
  <si>
    <t>77,5</t>
  </si>
  <si>
    <t>Số DN mới ký hợp đồng trong năm</t>
  </si>
  <si>
    <t>Monthly Active Driver (MAD) trung bình/DN</t>
  </si>
  <si>
    <t>Giá thuê bao (Subscription)/DN/tháng (VND)</t>
  </si>
  <si>
    <t>Giá phí sử dụng theo MAD/tài xế/tháng (VND)</t>
  </si>
  <si>
    <t>Giá vốn hàng bán (COGS)</t>
  </si>
  <si>
    <t>Phí triển khai &amp; tích hợp/DN mới (VND, một lần)</t>
  </si>
  <si>
    <t>Lợi nhuận gộp (Gross Profit)</t>
  </si>
  <si>
    <t>Tỷ lệ DN có nhu cầu tư vấn ESG (%)</t>
  </si>
  <si>
    <t>Phí tư vấn &amp; báo cáo ESG/DN có nhu cầu/năm (VND)</t>
  </si>
  <si>
    <t>Chi phí vận hành (OPEX)</t>
  </si>
  <si>
    <t>Tổng phí kết nối đơn chiều về/năm (VND, GĐ6 dài hạn)</t>
  </si>
  <si>
    <t>Tổng hoa hồng đối tác xanh/năm (VND, dài hạn)</t>
  </si>
  <si>
    <t>Chi phí khấu hao</t>
  </si>
  <si>
    <t>B Doanh thu dự kiến theo năm (VND)</t>
  </si>
  <si>
    <t>Lợi nhuận hoạt động (Operating Profit / EBIT)</t>
  </si>
  <si>
    <t>1 Phí thuê bao (Subscription)</t>
  </si>
  <si>
    <t>Thu nhập khác (Other Income)</t>
  </si>
  <si>
    <t>2 Phí sử dụng theo Monthly Active Driver</t>
  </si>
  <si>
    <t>Chi phí khác (Other Expenses)</t>
  </si>
  <si>
    <t>3 Phí triển khai &amp; tích hợp (một lần)</t>
  </si>
  <si>
    <t>Lợi nhuận trước thuế (EBT)</t>
  </si>
  <si>
    <t>4 Tư vấn &amp; báo cáo ESG</t>
  </si>
  <si>
    <t>Thuế thu nhập doanh nghiệp (CIT 20%)</t>
  </si>
  <si>
    <t>5 Phí kết nối đơn chiều về</t>
  </si>
  <si>
    <t>0 ₫</t>
  </si>
  <si>
    <t>Lợi nhuận ròng (Net Income After Tax)</t>
  </si>
  <si>
    <t>6 Hoa hồng đối tác xanh</t>
  </si>
  <si>
    <t>TỔNG DOANH THU</t>
  </si>
  <si>
    <t>Tỷ suất lợi nhuận chính</t>
  </si>
  <si>
    <t>TỔNG NĂM 2027</t>
  </si>
  <si>
    <t>Chỉ số</t>
  </si>
  <si>
    <t xml:space="preserve">Năm 2026 </t>
  </si>
  <si>
    <t>Năm 2027</t>
  </si>
  <si>
    <t>Năm 2028</t>
  </si>
  <si>
    <t>Gross Profit Margin (Biên lợi nhuận gộp)</t>
  </si>
  <si>
    <t>Operating Profit Margin (Biên lợi nhuận hoạt động)</t>
  </si>
  <si>
    <t>Income Statement 2028</t>
  </si>
  <si>
    <t>Net Profit Margin (Biên lợi nhuận ròng)</t>
  </si>
  <si>
    <t>COGS Ratio (Tỷ trọng giá vốn/doanh thu)</t>
  </si>
  <si>
    <t>OPEX Ratio (Tỷ trọng chi phí vận hành/doanh thu)</t>
  </si>
  <si>
    <t>TỔNG NĂM 2028</t>
  </si>
  <si>
    <t>Income Statement 2029</t>
  </si>
  <si>
    <t>TỔNG NĂM 2029</t>
  </si>
  <si>
    <t>Income Statement 2030</t>
  </si>
  <si>
    <t>TỔNG NĂM 2030</t>
  </si>
  <si>
    <t>Income Statement 2031</t>
  </si>
  <si>
    <t>TỔNG NĂM 2031</t>
  </si>
  <si>
    <t>Financial indicators</t>
  </si>
  <si>
    <t>Year</t>
  </si>
  <si>
    <t>Cash flow</t>
  </si>
  <si>
    <t>Cumulative</t>
  </si>
  <si>
    <t xml:space="preserve">PV </t>
  </si>
  <si>
    <t>PV cumiulative</t>
  </si>
  <si>
    <t>Estimated Cost of capital</t>
  </si>
  <si>
    <t>Break even point</t>
  </si>
  <si>
    <t>Payback Period/ Year</t>
  </si>
  <si>
    <t>Discounted Paypack period/ Year</t>
  </si>
  <si>
    <t>NPV</t>
  </si>
  <si>
    <t>IRR</t>
  </si>
  <si>
    <t>CASH FLOW</t>
  </si>
  <si>
    <t>Hạng mục</t>
  </si>
  <si>
    <t>Năm 0 (2026)</t>
  </si>
  <si>
    <t>A. DÒNG TIỀN TỪ HOẠT ĐỘNG KINH DOANH (Operating Activities)</t>
  </si>
  <si>
    <t>1. Tiền nhận được từ sale</t>
  </si>
  <si>
    <t>2. Giá vốn bán hàng</t>
  </si>
  <si>
    <t>3. Chi phí vận hành OPEX</t>
  </si>
  <si>
    <t>4. Thuế TNDN phải nộp</t>
  </si>
  <si>
    <t>Dòng tiền thuần từ HĐKD (CFO)</t>
  </si>
  <si>
    <t>B. DÒNG TIỀN TỪ HOẠT ĐỘNG ĐẦU TƯ (Investing Activities)</t>
  </si>
  <si>
    <t xml:space="preserve">1. Chi đầu tư tài sản cố định </t>
  </si>
  <si>
    <t>2. Thanh lý / Thu hồi TSCĐ</t>
  </si>
  <si>
    <t>Dòng tiền thuần từ HĐĐT (CFI)</t>
  </si>
  <si>
    <t>C. DÒNG TIỀN TỪ HOẠT ĐỘNG TÀI CHÍNH (Financing Activities)</t>
  </si>
  <si>
    <t>1. Vốn góp / Huy động (Equity funding)</t>
  </si>
  <si>
    <t>2. Chi trả cổ tức / lãi vay</t>
  </si>
  <si>
    <t>Dòng tiền thuần từ HĐTC (CFF)</t>
  </si>
  <si>
    <t>D. TỔNG DÒNG TIỀN THUẦN (A + B + C)</t>
  </si>
  <si>
    <t>Tiền tồn đầu kỳ</t>
  </si>
  <si>
    <t>Tiền tồn cuối kỳ</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</si>
</sst>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
    <numFmt numFmtId="165" formatCode="#,##0\ [$đ-42A]"/>
    <numFmt numFmtId="166" formatCode="#,##0.000[$ ₫]"/>
    <numFmt numFmtId="167" formatCode="#,##0.00\ [$đ-42A]"/>
    <numFmt numFmtId="168" formatCode="#,##0;(#,##0)"/>
  </numFmts>
  <fonts count="38">
    <font>
      <sz val="10.0"/>
      <color rgb="FF000000"/>
      <name val="Arial"/>
      <scheme val="minor"/>
    </font>
    <font>
      <b/>
      <sz val="12.0"/>
      <color rgb="FF000000"/>
      <name val="'Times New Roman'"/>
    </font>
    <font>
      <sz val="12.0"/>
      <color rgb="FF000000"/>
      <name val="'Times New Roman'"/>
    </font>
    <font>
      <b/>
      <color theme="1"/>
      <name val="Times New Roman"/>
    </font>
    <font/>
    <font>
      <sz val="12.0"/>
      <color rgb="FF000000"/>
      <name val="Times New Roman"/>
    </font>
    <font>
      <b/>
      <sz val="13.0"/>
      <color rgb="FF222222"/>
      <name val="Times New Roman"/>
    </font>
    <font>
      <color theme="1"/>
      <name val="Times New Roman"/>
    </font>
    <font>
      <sz val="10.0"/>
      <color theme="1"/>
      <name val="Arial"/>
      <scheme val="minor"/>
    </font>
    <font>
      <sz val="12.0"/>
      <color theme="1"/>
      <name val="Times New Roman"/>
    </font>
    <font>
      <color theme="1"/>
      <name val="Arial"/>
      <scheme val="minor"/>
    </font>
    <font>
      <b/>
      <color rgb="FF000000"/>
      <name val="'Times New Roman'"/>
    </font>
    <font>
      <b/>
      <sz val="10.0"/>
      <color theme="1"/>
      <name val="Times New Roman"/>
    </font>
    <font>
      <sz val="10.0"/>
      <color theme="1"/>
      <name val="Times New Roman"/>
    </font>
    <font>
      <color rgb="FF000000"/>
      <name val="'Times New Roman'"/>
    </font>
    <font>
      <b/>
      <sz val="12.0"/>
      <color theme="1"/>
      <name val="Times New Roman"/>
    </font>
    <font>
      <b/>
      <sz val="10.0"/>
      <color rgb="FF1F1F1F"/>
      <name val="'Times New Roman'"/>
    </font>
    <font>
      <b/>
      <sz val="11.0"/>
      <color theme="1"/>
      <name val="Times New Roman"/>
    </font>
    <font>
      <sz val="10.0"/>
      <color rgb="FF1F1F1F"/>
      <name val="'Times New Roman'"/>
    </font>
    <font>
      <sz val="11.0"/>
      <color theme="1"/>
      <name val="Times New Roman"/>
    </font>
    <font>
      <b/>
      <sz val="12.0"/>
      <color rgb="FF000000"/>
      <name val="Times New Roman"/>
    </font>
    <font>
      <b/>
      <sz val="10.0"/>
      <color rgb="FF000000"/>
      <name val="Times New Roman"/>
    </font>
    <font>
      <sz val="11.0"/>
      <color rgb="FF000000"/>
      <name val="'Times New Roman'"/>
    </font>
    <font>
      <u/>
      <color rgb="FF0000FF"/>
      <name val="Times New Roman"/>
    </font>
    <font>
      <b/>
      <color rgb="FF000000"/>
      <name val="&quot;Times New Roman&quot;"/>
    </font>
    <font>
      <color rgb="FF000000"/>
      <name val="&quot;Times New Roman&quot;"/>
    </font>
    <font>
      <sz val="10.0"/>
      <color rgb="FF000000"/>
      <name val="Times New Roman"/>
    </font>
    <font>
      <color theme="1"/>
      <name val="Arial"/>
    </font>
    <font>
      <u/>
      <color rgb="FF0000FF"/>
      <name val="Times New Roman"/>
    </font>
    <font>
      <i/>
      <sz val="9.0"/>
      <color rgb="FF000000"/>
      <name val="&quot;Times New Roman&quot;"/>
    </font>
    <font>
      <b/>
      <sz val="11.0"/>
      <color rgb="FF000000"/>
      <name val="&quot;Times New Roman&quot;"/>
    </font>
    <font>
      <i/>
      <sz val="10.0"/>
      <color rgb="FF000000"/>
      <name val="&quot;Times New Roman&quot;"/>
    </font>
    <font>
      <sz val="10.0"/>
      <color rgb="FF000000"/>
      <name val="Arial"/>
    </font>
    <font>
      <b/>
      <sz val="10.0"/>
      <color rgb="FF000000"/>
      <name val="&quot;Times New Roman&quot;"/>
    </font>
    <font>
      <sz val="10.0"/>
      <color rgb="FF000000"/>
      <name val="&quot;Times New Roman&quot;"/>
    </font>
    <font>
      <sz val="9.0"/>
      <color rgb="FF000000"/>
      <name val="&quot;Times New Roman&quot;"/>
    </font>
    <font>
      <b/>
      <color rgb="FF000000"/>
      <name val="Arial"/>
    </font>
    <font>
      <color rgb="FF000000"/>
      <name val="Arial"/>
    </font>
  </fonts>
  <fills count="3">
    <fill>
      <patternFill patternType="none"/>
    </fill>
    <fill>
      <patternFill patternType="lightGray"/>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1" fillId="0" fontId="3" numFmtId="0" xfId="0" applyAlignment="1" applyBorder="1" applyFont="1">
      <alignment horizontal="center" readingOrder="0" vertical="center"/>
    </xf>
    <xf borderId="3" fillId="0" fontId="4" numFmtId="0" xfId="0" applyBorder="1" applyFont="1"/>
    <xf borderId="1" fillId="0" fontId="5" numFmtId="0" xfId="0" applyAlignment="1" applyBorder="1" applyFont="1">
      <alignment horizontal="center" readingOrder="0" shrinkToFit="0" vertical="center" wrapText="1"/>
    </xf>
    <xf borderId="2" fillId="0" fontId="6" numFmtId="0" xfId="0" applyAlignment="1" applyBorder="1" applyFont="1">
      <alignment horizontal="center" vertical="center"/>
    </xf>
    <xf borderId="0" fillId="0" fontId="7" numFmtId="0" xfId="0" applyAlignment="1" applyFont="1">
      <alignment vertical="center"/>
    </xf>
    <xf borderId="4" fillId="0" fontId="4" numFmtId="0" xfId="0" applyBorder="1" applyFont="1"/>
    <xf borderId="0" fillId="0" fontId="7" numFmtId="0" xfId="0" applyAlignment="1" applyFont="1">
      <alignment horizontal="center" vertical="center"/>
    </xf>
    <xf borderId="0" fillId="0" fontId="7" numFmtId="0" xfId="0" applyAlignment="1" applyFont="1">
      <alignment shrinkToFit="0" vertical="center" wrapText="1"/>
    </xf>
    <xf borderId="0" fillId="0" fontId="8" numFmtId="0" xfId="0" applyFont="1"/>
    <xf borderId="1" fillId="0"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5" fillId="0" fontId="7" numFmtId="0" xfId="0" applyAlignment="1" applyBorder="1" applyFont="1">
      <alignment readingOrder="0" vertical="center"/>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7" numFmtId="0" xfId="0" applyAlignment="1" applyBorder="1" applyFont="1">
      <alignment vertical="center"/>
    </xf>
    <xf borderId="0" fillId="0" fontId="7" numFmtId="0" xfId="0" applyAlignment="1" applyFont="1">
      <alignment readingOrder="0" shrinkToFit="0" wrapText="1"/>
    </xf>
    <xf borderId="1" fillId="0" fontId="14" numFmtId="0" xfId="0" applyAlignment="1" applyBorder="1" applyFont="1">
      <alignment horizontal="center" readingOrder="0" shrinkToFit="0" vertical="center" wrapText="1"/>
    </xf>
    <xf borderId="6" fillId="0" fontId="4" numFmtId="0" xfId="0" applyBorder="1" applyFont="1"/>
    <xf borderId="1" fillId="0" fontId="14"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top" wrapText="1"/>
    </xf>
    <xf borderId="2" fillId="0" fontId="15" numFmtId="0" xfId="0" applyAlignment="1" applyBorder="1" applyFont="1">
      <alignment horizontal="center" readingOrder="0" vertical="center"/>
    </xf>
    <xf borderId="1" fillId="0" fontId="16" numFmtId="0" xfId="0" applyAlignment="1" applyBorder="1" applyFont="1">
      <alignment horizontal="left" readingOrder="0" shrinkToFit="0" vertical="center" wrapText="1"/>
    </xf>
    <xf borderId="5" fillId="0" fontId="13" numFmtId="0" xfId="0" applyAlignment="1" applyBorder="1" applyFont="1">
      <alignment horizontal="left" readingOrder="0" shrinkToFit="0" vertical="top"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vertical="center"/>
    </xf>
    <xf borderId="2" fillId="0" fontId="12"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7" numFmtId="0" xfId="0" applyAlignment="1" applyBorder="1" applyFont="1">
      <alignment readingOrder="0" vertical="center"/>
    </xf>
    <xf borderId="1" fillId="0" fontId="2" numFmtId="0" xfId="0" applyAlignment="1" applyBorder="1" applyFont="1">
      <alignment horizontal="center" readingOrder="0" shrinkToFit="0" vertical="center" wrapText="1"/>
    </xf>
    <xf borderId="2" fillId="0" fontId="17" numFmtId="0" xfId="0" applyAlignment="1" applyBorder="1" applyFont="1">
      <alignment horizontal="center" readingOrder="0" vertical="center"/>
    </xf>
    <xf borderId="2" fillId="0" fontId="13" numFmtId="0" xfId="0" applyAlignment="1" applyBorder="1" applyFont="1">
      <alignment horizontal="left" readingOrder="0" shrinkToFit="0" vertical="top" wrapText="1"/>
    </xf>
    <xf borderId="1" fillId="0" fontId="1" numFmtId="0" xfId="0" applyAlignment="1" applyBorder="1" applyFont="1">
      <alignment horizontal="left" readingOrder="0" shrinkToFit="0" vertical="center" wrapText="1"/>
    </xf>
    <xf borderId="7" fillId="0" fontId="4" numFmtId="0" xfId="0" applyBorder="1" applyFont="1"/>
    <xf borderId="1" fillId="0" fontId="2" numFmtId="0" xfId="0" applyAlignment="1" applyBorder="1" applyFont="1">
      <alignment horizontal="left" readingOrder="0" shrinkToFit="0" vertical="center" wrapText="1"/>
    </xf>
    <xf borderId="1" fillId="0" fontId="19" numFmtId="0" xfId="0" applyAlignment="1" applyBorder="1" applyFont="1">
      <alignment horizontal="center" readingOrder="0" vertical="center"/>
    </xf>
    <xf borderId="1" fillId="0" fontId="19" numFmtId="0" xfId="0" applyAlignment="1" applyBorder="1" applyFont="1">
      <alignment horizontal="left" readingOrder="0" shrinkToFit="0" vertical="center" wrapText="1"/>
    </xf>
    <xf borderId="1" fillId="0" fontId="19" numFmtId="0" xfId="0" applyAlignment="1" applyBorder="1" applyFont="1">
      <alignment readingOrder="0" vertical="center"/>
    </xf>
    <xf borderId="0" fillId="0" fontId="10" numFmtId="0" xfId="0" applyAlignment="1" applyFont="1">
      <alignment horizontal="left"/>
    </xf>
    <xf borderId="0" fillId="0" fontId="2" numFmtId="0" xfId="0" applyAlignment="1" applyFont="1">
      <alignment horizontal="left" readingOrder="0" shrinkToFit="0" wrapText="1"/>
    </xf>
    <xf borderId="0" fillId="0" fontId="10" numFmtId="0" xfId="0" applyAlignment="1" applyFont="1">
      <alignment horizontal="left" shrinkToFit="0" vertical="bottom" wrapText="1"/>
    </xf>
    <xf borderId="1" fillId="0" fontId="19" numFmtId="164" xfId="0" applyAlignment="1" applyBorder="1" applyFont="1" applyNumberFormat="1">
      <alignment horizontal="center" readingOrder="0" vertical="center"/>
    </xf>
    <xf borderId="0" fillId="0" fontId="2" numFmtId="0" xfId="0" applyAlignment="1" applyFont="1">
      <alignment horizontal="center" readingOrder="0" shrinkToFit="0" wrapText="1"/>
    </xf>
    <xf borderId="1" fillId="0" fontId="18" numFmtId="164" xfId="0" applyAlignment="1" applyBorder="1" applyFont="1" applyNumberFormat="1">
      <alignment horizontal="center" readingOrder="0" shrinkToFit="0" vertical="center" wrapText="1"/>
    </xf>
    <xf borderId="1" fillId="0" fontId="16" numFmtId="164" xfId="0" applyAlignment="1" applyBorder="1" applyFont="1" applyNumberFormat="1">
      <alignment horizontal="center" readingOrder="0" shrinkToFit="0" vertical="center" wrapText="1"/>
    </xf>
    <xf borderId="0" fillId="0" fontId="7" numFmtId="0" xfId="0" applyAlignment="1" applyFont="1">
      <alignment readingOrder="0" shrinkToFit="0" vertical="center" wrapText="1"/>
    </xf>
    <xf borderId="0" fillId="0" fontId="16" numFmtId="0" xfId="0" applyAlignment="1" applyFont="1">
      <alignment horizontal="center" readingOrder="0" shrinkToFit="0" vertical="center" wrapText="1"/>
    </xf>
    <xf borderId="1" fillId="0" fontId="17" numFmtId="164" xfId="0" applyAlignment="1" applyBorder="1" applyFont="1" applyNumberFormat="1">
      <alignment horizontal="center" readingOrder="0" vertical="center"/>
    </xf>
    <xf borderId="0" fillId="0" fontId="2" numFmtId="0" xfId="0" applyAlignment="1" applyFont="1">
      <alignment readingOrder="0" shrinkToFit="0" vertical="top" wrapText="1"/>
    </xf>
    <xf borderId="2" fillId="0" fontId="16" numFmtId="0" xfId="0" applyAlignment="1" applyBorder="1" applyFont="1">
      <alignment horizontal="center" readingOrder="0" shrinkToFit="0" vertical="center" wrapText="1"/>
    </xf>
    <xf borderId="2" fillId="2" fontId="20" numFmtId="0" xfId="0" applyAlignment="1" applyBorder="1" applyFill="1" applyFont="1">
      <alignment horizontal="center" shrinkToFit="0" vertical="center" wrapText="1"/>
    </xf>
    <xf borderId="0" fillId="0" fontId="8" numFmtId="0" xfId="0" applyAlignment="1" applyFont="1">
      <alignment shrinkToFit="0" wrapText="1"/>
    </xf>
    <xf borderId="2" fillId="2" fontId="21" numFmtId="0" xfId="0" applyAlignment="1" applyBorder="1" applyFill="1" applyFont="1">
      <alignment horizontal="center" shrinkToFit="0" wrapText="1"/>
    </xf>
    <xf borderId="1" fillId="2" fontId="21" numFmtId="3" xfId="0" applyAlignment="1" applyBorder="1" applyFill="1" applyFont="1" applyNumberFormat="1">
      <alignment horizontal="center" shrinkToFit="0" wrapText="1"/>
    </xf>
    <xf borderId="1" fillId="2" fontId="21" numFmtId="165" xfId="0" applyAlignment="1" applyBorder="1" applyFill="1" applyFont="1" applyNumberFormat="1">
      <alignment horizontal="center" shrinkToFit="0" wrapText="1"/>
    </xf>
    <xf borderId="1" fillId="2" fontId="21" numFmtId="0" xfId="0" applyAlignment="1" applyBorder="1" applyFill="1" applyFont="1">
      <alignment horizontal="center" shrinkToFit="0" wrapText="1"/>
    </xf>
    <xf borderId="2" fillId="0" fontId="12" numFmtId="0" xfId="0" applyAlignment="1" applyBorder="1" applyFont="1">
      <alignment horizontal="center" readingOrder="0" shrinkToFit="0" vertical="center" wrapText="1"/>
    </xf>
    <xf borderId="2" fillId="0" fontId="13"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1" fillId="0" fontId="7" numFmtId="164" xfId="0" applyAlignment="1" applyBorder="1" applyFont="1" applyNumberFormat="1">
      <alignment horizontal="center" shrinkToFit="0" vertical="center" wrapText="1"/>
    </xf>
    <xf borderId="1" fillId="0" fontId="7" numFmtId="0" xfId="0" applyAlignment="1" applyBorder="1" applyFont="1">
      <alignment horizontal="left" shrinkToFit="0" vertical="center" wrapText="1"/>
    </xf>
    <xf borderId="0" fillId="0" fontId="22" numFmtId="0" xfId="0" applyFont="1"/>
    <xf borderId="1" fillId="0" fontId="13" numFmtId="0" xfId="0" applyAlignment="1" applyBorder="1" applyFont="1">
      <alignment horizontal="center" readingOrder="0" shrinkToFit="0" vertical="center" wrapText="1"/>
    </xf>
    <xf borderId="1" fillId="0" fontId="13" numFmtId="164" xfId="0" applyAlignment="1" applyBorder="1" applyFont="1" applyNumberFormat="1">
      <alignment horizontal="center" readingOrder="0" shrinkToFit="0" vertical="center" wrapText="1"/>
    </xf>
    <xf borderId="2" fillId="0" fontId="21" numFmtId="0" xfId="0" applyAlignment="1" applyBorder="1" applyFont="1">
      <alignment horizontal="center" readingOrder="0" vertical="center"/>
    </xf>
    <xf borderId="1" fillId="0" fontId="13" numFmtId="164" xfId="0" applyAlignment="1" applyBorder="1" applyFont="1" applyNumberFormat="1">
      <alignment horizontal="center" shrinkToFit="0" vertical="center" wrapText="1"/>
    </xf>
    <xf borderId="0" fillId="0" fontId="21" numFmtId="165" xfId="0" applyAlignment="1" applyFont="1" applyNumberFormat="1">
      <alignment horizontal="center" vertical="center"/>
    </xf>
    <xf borderId="0" fillId="0" fontId="21" numFmtId="0" xfId="0" applyAlignment="1" applyFont="1">
      <alignment horizontal="center" readingOrder="0" vertical="center"/>
    </xf>
    <xf borderId="0" fillId="0" fontId="10" numFmtId="0" xfId="0" applyAlignment="1" applyFont="1">
      <alignment vertical="center"/>
    </xf>
    <xf borderId="1" fillId="0" fontId="21" numFmtId="0" xfId="0" applyAlignment="1" applyBorder="1" applyFont="1">
      <alignment horizontal="center" vertical="center"/>
    </xf>
    <xf borderId="1" fillId="0" fontId="21" numFmtId="3" xfId="0" applyAlignment="1" applyBorder="1" applyFont="1" applyNumberFormat="1">
      <alignment horizontal="center" vertical="center"/>
    </xf>
    <xf borderId="1" fillId="0" fontId="21" numFmtId="165" xfId="0" applyAlignment="1" applyBorder="1" applyFont="1" applyNumberFormat="1">
      <alignment horizontal="center" vertical="center"/>
    </xf>
    <xf borderId="1" fillId="0" fontId="21" numFmtId="164" xfId="0" applyAlignment="1" applyBorder="1" applyFont="1" applyNumberFormat="1">
      <alignment horizontal="center" readingOrder="0" vertical="center"/>
    </xf>
    <xf borderId="1" fillId="0" fontId="21" numFmtId="165" xfId="0" applyAlignment="1" applyBorder="1" applyFont="1" applyNumberFormat="1">
      <alignment horizontal="center" readingOrder="0" vertical="center"/>
    </xf>
    <xf borderId="1" fillId="0" fontId="13" numFmtId="166" xfId="0" applyAlignment="1" applyBorder="1" applyFont="1" applyNumberFormat="1">
      <alignment horizontal="center" readingOrder="0" shrinkToFit="0" vertical="center" wrapText="1"/>
    </xf>
    <xf borderId="1" fillId="0" fontId="13" numFmtId="166" xfId="0" applyAlignment="1" applyBorder="1" applyFont="1" applyNumberFormat="1">
      <alignment horizontal="center" shrinkToFit="0" vertical="center" wrapText="1"/>
    </xf>
    <xf borderId="2" fillId="0" fontId="12" numFmtId="3" xfId="0" applyAlignment="1" applyBorder="1" applyFont="1" applyNumberFormat="1">
      <alignment horizontal="center" readingOrder="0" vertical="center"/>
    </xf>
    <xf borderId="0" fillId="0" fontId="12" numFmtId="3" xfId="0" applyAlignment="1" applyFont="1" applyNumberFormat="1">
      <alignment horizontal="center" readingOrder="0" vertical="center"/>
    </xf>
    <xf borderId="1" fillId="0" fontId="13" numFmtId="3" xfId="0" applyAlignment="1" applyBorder="1" applyFont="1" applyNumberFormat="1">
      <alignment horizontal="center" readingOrder="0" shrinkToFit="0" vertical="center" wrapText="1"/>
    </xf>
    <xf borderId="5" fillId="0" fontId="21" numFmtId="0" xfId="0" applyAlignment="1" applyBorder="1" applyFont="1">
      <alignment horizontal="center" shrinkToFit="0" vertical="center" wrapText="0"/>
    </xf>
    <xf borderId="5" fillId="0" fontId="21" numFmtId="0" xfId="0" applyAlignment="1" applyBorder="1" applyFont="1">
      <alignment horizontal="center" readingOrder="0" shrinkToFit="0" vertical="center" wrapText="0"/>
    </xf>
    <xf borderId="1" fillId="0" fontId="7" numFmtId="0" xfId="0" applyAlignment="1" applyBorder="1" applyFont="1">
      <alignment horizontal="center" vertical="center"/>
    </xf>
    <xf borderId="1" fillId="0" fontId="7" numFmtId="164" xfId="0" applyAlignment="1" applyBorder="1" applyFont="1" applyNumberFormat="1">
      <alignment horizontal="center" vertical="center"/>
    </xf>
    <xf borderId="0" fillId="0" fontId="23" numFmtId="0" xfId="0" applyAlignment="1" applyFont="1">
      <alignment readingOrder="0" shrinkToFit="0" vertical="center" wrapText="1"/>
    </xf>
    <xf borderId="1" fillId="0" fontId="7" numFmtId="0" xfId="0" applyAlignment="1" applyBorder="1" applyFont="1">
      <alignment shrinkToFit="0" vertical="center" wrapText="1"/>
    </xf>
    <xf borderId="0" fillId="0" fontId="7" numFmtId="0" xfId="0" applyAlignment="1" applyFont="1">
      <alignment readingOrder="0" shrinkToFit="0" vertical="center" wrapText="1"/>
    </xf>
    <xf borderId="0" fillId="0" fontId="13" numFmtId="0" xfId="0" applyAlignment="1" applyFont="1">
      <alignment horizontal="center" shrinkToFit="0" vertical="center" wrapText="1"/>
    </xf>
    <xf borderId="0" fillId="0" fontId="24" numFmtId="0" xfId="0" applyAlignment="1" applyFont="1">
      <alignment readingOrder="0" shrinkToFit="0" vertical="center" wrapText="1"/>
    </xf>
    <xf borderId="0" fillId="0" fontId="25" numFmtId="0" xfId="0" applyAlignment="1" applyFont="1">
      <alignment shrinkToFit="0" vertical="center" wrapText="0"/>
    </xf>
    <xf borderId="1" fillId="0" fontId="13"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26" numFmtId="0" xfId="0" applyAlignment="1" applyBorder="1" applyFont="1">
      <alignment horizontal="center" readingOrder="0" vertical="center"/>
    </xf>
    <xf borderId="1" fillId="0" fontId="26" numFmtId="164" xfId="0" applyAlignment="1" applyBorder="1" applyFont="1" applyNumberFormat="1">
      <alignment horizontal="center" readingOrder="0" vertical="center"/>
    </xf>
    <xf borderId="1" fillId="0" fontId="26" numFmtId="164" xfId="0" applyAlignment="1" applyBorder="1" applyFont="1" applyNumberFormat="1">
      <alignment horizontal="center" vertical="center"/>
    </xf>
    <xf borderId="0" fillId="0" fontId="27" numFmtId="0" xfId="0" applyAlignment="1" applyFont="1">
      <alignment horizontal="left" readingOrder="0" shrinkToFit="0" vertical="bottom" wrapText="0"/>
    </xf>
    <xf borderId="1" fillId="0" fontId="7" numFmtId="0" xfId="0" applyAlignment="1" applyBorder="1" applyFont="1">
      <alignment horizontal="center" readingOrder="0" shrinkToFit="0" vertical="center" wrapText="1"/>
    </xf>
    <xf borderId="1" fillId="0" fontId="7" numFmtId="164" xfId="0" applyAlignment="1" applyBorder="1" applyFont="1" applyNumberFormat="1">
      <alignment horizontal="center" readingOrder="0" shrinkToFit="0" vertical="center" wrapText="1"/>
    </xf>
    <xf borderId="1" fillId="0" fontId="26" numFmtId="164" xfId="0" applyAlignment="1" applyBorder="1" applyFont="1" applyNumberFormat="1">
      <alignment horizontal="center" shrinkToFit="0" vertical="center" wrapText="1"/>
    </xf>
    <xf borderId="1" fillId="0" fontId="26" numFmtId="3" xfId="0" applyAlignment="1" applyBorder="1" applyFont="1" applyNumberFormat="1">
      <alignment horizontal="center" shrinkToFit="0" vertical="center" wrapText="1"/>
    </xf>
    <xf borderId="1" fillId="0" fontId="28" numFmtId="0" xfId="0" applyAlignment="1" applyBorder="1" applyFont="1">
      <alignment horizontal="left" readingOrder="0" shrinkToFit="0" vertical="center" wrapText="1"/>
    </xf>
    <xf borderId="0" fillId="0" fontId="10" numFmtId="0" xfId="0" applyAlignment="1" applyFont="1">
      <alignment shrinkToFit="0" vertical="center" wrapText="1"/>
    </xf>
    <xf borderId="1" fillId="0" fontId="24" numFmtId="0" xfId="0" applyAlignment="1" applyBorder="1" applyFont="1">
      <alignment horizontal="center" readingOrder="0" vertical="center"/>
    </xf>
    <xf borderId="1" fillId="0" fontId="24" numFmtId="0" xfId="0" applyAlignment="1" applyBorder="1" applyFont="1">
      <alignment horizontal="center" readingOrder="0" shrinkToFit="0" vertical="center" wrapText="1"/>
    </xf>
    <xf borderId="1" fillId="2" fontId="9" numFmtId="0" xfId="0" applyAlignment="1" applyBorder="1" applyFill="1" applyFont="1">
      <alignment horizontal="center" readingOrder="0" vertical="center"/>
    </xf>
    <xf borderId="2" fillId="0" fontId="24" numFmtId="0" xfId="0" applyAlignment="1" applyBorder="1" applyFont="1">
      <alignment horizontal="center" readingOrder="0" vertical="center"/>
    </xf>
    <xf borderId="1" fillId="0" fontId="25" numFmtId="0" xfId="0" applyAlignment="1" applyBorder="1" applyFont="1">
      <alignment horizontal="center" readingOrder="0" shrinkToFit="0" vertical="center" wrapText="0"/>
    </xf>
    <xf borderId="1" fillId="0" fontId="25" numFmtId="9" xfId="0" applyAlignment="1" applyBorder="1" applyFont="1" applyNumberFormat="1">
      <alignment horizontal="center" readingOrder="0" shrinkToFit="0" vertical="center" wrapText="0"/>
    </xf>
    <xf borderId="2" fillId="0" fontId="29" numFmtId="0" xfId="0" applyAlignment="1" applyBorder="1" applyFont="1">
      <alignment horizontal="left" readingOrder="0" shrinkToFit="0" vertical="center" wrapText="1"/>
    </xf>
    <xf borderId="2" fillId="0" fontId="12" numFmtId="0" xfId="0" applyAlignment="1" applyBorder="1" applyFont="1">
      <alignment horizontal="center" readingOrder="0" shrinkToFit="0" wrapText="1"/>
    </xf>
    <xf borderId="1" fillId="0" fontId="3" numFmtId="164" xfId="0" applyAlignment="1" applyBorder="1" applyFont="1" applyNumberFormat="1">
      <alignment horizontal="center" shrinkToFit="0" vertical="center" wrapText="1"/>
    </xf>
    <xf borderId="0" fillId="0" fontId="25" numFmtId="0" xfId="0" applyAlignment="1" applyFont="1">
      <alignment horizontal="center" shrinkToFit="0" vertical="center" wrapText="0"/>
    </xf>
    <xf borderId="1" fillId="0" fontId="8" numFmtId="0" xfId="0" applyAlignment="1" applyBorder="1" applyFont="1">
      <alignment shrinkToFit="0" wrapText="1"/>
    </xf>
    <xf borderId="2" fillId="0" fontId="3" numFmtId="0" xfId="0" applyAlignment="1" applyBorder="1" applyFont="1">
      <alignment horizontal="center" readingOrder="0" vertical="center"/>
    </xf>
    <xf borderId="3" fillId="0" fontId="3" numFmtId="0" xfId="0" applyAlignment="1" applyBorder="1" applyFont="1">
      <alignment horizontal="center" readingOrder="0" vertical="center"/>
    </xf>
    <xf borderId="4" fillId="0" fontId="3" numFmtId="0" xfId="0" applyAlignment="1" applyBorder="1" applyFont="1">
      <alignment horizontal="center" readingOrder="0" vertical="center"/>
    </xf>
    <xf borderId="0" fillId="0" fontId="3" numFmtId="0" xfId="0" applyAlignment="1" applyFont="1">
      <alignment horizontal="center" readingOrder="0" vertical="center"/>
    </xf>
    <xf borderId="8" fillId="0" fontId="24"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5" fillId="0" fontId="7" numFmtId="0" xfId="0" applyAlignment="1" applyBorder="1" applyFont="1">
      <alignment readingOrder="0" shrinkToFit="0" vertical="center" wrapText="1"/>
    </xf>
    <xf borderId="1" fillId="0" fontId="21" numFmtId="164" xfId="0" applyAlignment="1" applyBorder="1" applyFont="1" applyNumberFormat="1">
      <alignment horizontal="center" vertical="center"/>
    </xf>
    <xf borderId="8" fillId="0" fontId="25" numFmtId="0" xfId="0" applyAlignment="1" applyBorder="1" applyFont="1">
      <alignment horizontal="left" readingOrder="0" shrinkToFit="0" vertical="center" wrapText="1"/>
    </xf>
    <xf borderId="8" fillId="0" fontId="25" numFmtId="9" xfId="0" applyAlignment="1" applyBorder="1" applyFont="1" applyNumberFormat="1">
      <alignment horizontal="center" readingOrder="0" shrinkToFit="0" vertical="center" wrapText="1"/>
    </xf>
    <xf borderId="1" fillId="0" fontId="7" numFmtId="164" xfId="0" applyAlignment="1" applyBorder="1" applyFont="1" applyNumberFormat="1">
      <alignment horizontal="center" readingOrder="0" vertical="center"/>
    </xf>
    <xf borderId="0" fillId="0" fontId="24" numFmtId="0" xfId="0" applyAlignment="1" applyFont="1">
      <alignment readingOrder="0" shrinkToFit="0" vertical="center" wrapText="0"/>
    </xf>
    <xf borderId="8" fillId="0" fontId="24" numFmtId="0" xfId="0" applyAlignment="1" applyBorder="1" applyFont="1">
      <alignment readingOrder="0" shrinkToFit="0" vertical="center" wrapText="1"/>
    </xf>
    <xf borderId="8" fillId="0" fontId="25" numFmtId="0" xfId="0" applyAlignment="1" applyBorder="1" applyFont="1">
      <alignment readingOrder="0" shrinkToFit="0" vertical="center" wrapText="1"/>
    </xf>
    <xf borderId="8" fillId="0" fontId="25" numFmtId="164" xfId="0" applyAlignment="1" applyBorder="1" applyFont="1" applyNumberFormat="1">
      <alignment horizontal="center" readingOrder="0" shrinkToFit="0" vertical="center" wrapText="1"/>
    </xf>
    <xf borderId="8" fillId="0" fontId="24" numFmtId="164" xfId="0" applyAlignment="1" applyBorder="1" applyFont="1" applyNumberFormat="1">
      <alignment horizontal="center" readingOrder="0" shrinkToFit="0" vertical="center" wrapText="1"/>
    </xf>
    <xf borderId="1" fillId="2" fontId="13" numFmtId="0" xfId="0" applyAlignment="1" applyBorder="1" applyFill="1" applyFont="1">
      <alignment horizontal="left" vertical="center"/>
    </xf>
    <xf borderId="1" fillId="0" fontId="10" numFmtId="0" xfId="0" applyAlignment="1" applyBorder="1" applyFont="1">
      <alignment vertical="center"/>
    </xf>
    <xf borderId="8" fillId="0" fontId="30" numFmtId="0" xfId="0" applyAlignment="1" applyBorder="1" applyFont="1">
      <alignment readingOrder="0" shrinkToFit="0" vertical="center" wrapText="1"/>
    </xf>
    <xf borderId="8" fillId="0" fontId="30" numFmtId="164" xfId="0" applyAlignment="1" applyBorder="1" applyFont="1" applyNumberFormat="1">
      <alignment horizontal="center" readingOrder="0" shrinkToFit="0" vertical="center" wrapText="1"/>
    </xf>
    <xf borderId="1" fillId="0" fontId="7" numFmtId="3" xfId="0" applyAlignment="1" applyBorder="1" applyFont="1" applyNumberFormat="1">
      <alignment horizontal="center" vertical="center"/>
    </xf>
    <xf borderId="1" fillId="0" fontId="3" numFmtId="164" xfId="0" applyAlignment="1" applyBorder="1" applyFont="1" applyNumberFormat="1">
      <alignment horizontal="center" readingOrder="0" vertical="center"/>
    </xf>
    <xf borderId="1" fillId="0" fontId="10" numFmtId="0" xfId="0" applyAlignment="1" applyBorder="1" applyFont="1">
      <alignment horizontal="left" vertical="center"/>
    </xf>
    <xf borderId="1" fillId="0" fontId="3" numFmtId="164" xfId="0" applyAlignment="1" applyBorder="1" applyFont="1" applyNumberFormat="1">
      <alignment horizontal="center" vertical="center"/>
    </xf>
    <xf borderId="1" fillId="0" fontId="3" numFmtId="0" xfId="0" applyAlignment="1" applyBorder="1" applyFont="1">
      <alignment vertical="center"/>
    </xf>
    <xf borderId="0" fillId="0" fontId="10" numFmtId="0" xfId="0" applyAlignment="1" applyFont="1">
      <alignment horizontal="center" vertical="center"/>
    </xf>
    <xf borderId="0" fillId="0" fontId="10" numFmtId="164" xfId="0" applyAlignment="1" applyFont="1" applyNumberFormat="1">
      <alignment vertical="center"/>
    </xf>
    <xf borderId="0" fillId="0" fontId="31" numFmtId="0" xfId="0" applyAlignment="1" applyFont="1">
      <alignment horizontal="center" readingOrder="0" shrinkToFit="0" vertical="center" wrapText="1"/>
    </xf>
    <xf borderId="0" fillId="0" fontId="8" numFmtId="0" xfId="0" applyAlignment="1" applyFont="1">
      <alignment vertical="center"/>
    </xf>
    <xf borderId="0" fillId="0" fontId="32" numFmtId="0" xfId="0" applyAlignment="1" applyFont="1">
      <alignment horizontal="center" shrinkToFit="0" vertical="center" wrapText="1"/>
    </xf>
    <xf borderId="0" fillId="0" fontId="33" numFmtId="0" xfId="0" applyAlignment="1" applyFont="1">
      <alignment horizontal="center" readingOrder="0" shrinkToFit="0" vertical="center" wrapText="1"/>
    </xf>
    <xf borderId="1" fillId="0" fontId="33"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0" fontId="34" numFmtId="0" xfId="0" applyAlignment="1" applyBorder="1" applyFont="1">
      <alignment horizontal="left" readingOrder="0" shrinkToFit="0" vertical="center" wrapText="1"/>
    </xf>
    <xf borderId="1" fillId="0" fontId="34" numFmtId="164" xfId="0" applyAlignment="1" applyBorder="1" applyFont="1" applyNumberFormat="1">
      <alignment horizontal="center" readingOrder="0" shrinkToFit="0" vertical="center" wrapText="1"/>
    </xf>
    <xf borderId="1" fillId="0" fontId="32" numFmtId="0" xfId="0" applyAlignment="1" applyBorder="1" applyFont="1">
      <alignment horizontal="center" shrinkToFit="0" vertical="center" wrapText="1"/>
    </xf>
    <xf borderId="1" fillId="0" fontId="32" numFmtId="164" xfId="0" applyAlignment="1" applyBorder="1" applyFont="1" applyNumberFormat="1">
      <alignment horizontal="center" shrinkToFit="0" vertical="center" wrapText="1"/>
    </xf>
    <xf borderId="1" fillId="0" fontId="33" numFmtId="164" xfId="0" applyAlignment="1" applyBorder="1" applyFont="1" applyNumberFormat="1">
      <alignment horizontal="center" readingOrder="0" shrinkToFit="0" vertical="center" wrapText="1"/>
    </xf>
    <xf borderId="8" fillId="0" fontId="33" numFmtId="0" xfId="0" applyAlignment="1" applyBorder="1" applyFont="1">
      <alignment horizontal="center" readingOrder="0" shrinkToFit="0" vertical="center" wrapText="1"/>
    </xf>
    <xf borderId="8" fillId="0" fontId="34" numFmtId="0" xfId="0" applyAlignment="1" applyBorder="1" applyFont="1">
      <alignment horizontal="center" readingOrder="0" shrinkToFit="0" vertical="center" wrapText="1"/>
    </xf>
    <xf borderId="8" fillId="0" fontId="34" numFmtId="0" xfId="0" applyAlignment="1" applyBorder="1" applyFont="1">
      <alignment horizontal="left" readingOrder="0" shrinkToFit="0" vertical="center" wrapText="1"/>
    </xf>
    <xf borderId="8" fillId="0" fontId="34" numFmtId="9" xfId="0" applyAlignment="1" applyBorder="1" applyFont="1" applyNumberFormat="1">
      <alignment horizontal="center" readingOrder="0" shrinkToFit="0" vertical="center" wrapText="1"/>
    </xf>
    <xf borderId="9" fillId="0" fontId="21" numFmtId="0" xfId="0" applyAlignment="1" applyBorder="1" applyFont="1">
      <alignment horizontal="center" vertical="bottom"/>
    </xf>
    <xf borderId="10" fillId="0" fontId="4" numFmtId="0" xfId="0" applyBorder="1" applyFont="1"/>
    <xf borderId="11" fillId="0" fontId="4" numFmtId="0" xfId="0" applyBorder="1" applyFont="1"/>
    <xf borderId="1" fillId="0" fontId="21" numFmtId="0" xfId="0" applyAlignment="1" applyBorder="1" applyFont="1">
      <alignment horizontal="center" vertical="bottom"/>
    </xf>
    <xf borderId="1" fillId="0" fontId="25" numFmtId="0" xfId="0" applyAlignment="1" applyBorder="1" applyFont="1">
      <alignment horizontal="center" readingOrder="0" shrinkToFit="0" vertical="center" wrapText="1"/>
    </xf>
    <xf borderId="1" fillId="0" fontId="25" numFmtId="0" xfId="0" applyAlignment="1" applyBorder="1" applyFont="1">
      <alignment horizontal="left" readingOrder="0" shrinkToFit="0" vertical="center" wrapText="1"/>
    </xf>
    <xf borderId="1" fillId="0" fontId="25" numFmtId="164" xfId="0" applyAlignment="1" applyBorder="1" applyFont="1" applyNumberFormat="1">
      <alignment horizontal="center" readingOrder="0" shrinkToFit="0" vertical="center" wrapText="1"/>
    </xf>
    <xf borderId="1" fillId="0" fontId="35" numFmtId="0" xfId="0" applyAlignment="1" applyBorder="1" applyFont="1">
      <alignment horizontal="left" readingOrder="0" shrinkToFit="0" vertical="center" wrapText="1"/>
    </xf>
    <xf borderId="1" fillId="0" fontId="25" numFmtId="0" xfId="0" applyAlignment="1" applyBorder="1" applyFont="1">
      <alignment horizontal="center" shrinkToFit="0" vertical="center" wrapText="1"/>
    </xf>
    <xf borderId="1" fillId="0" fontId="24" numFmtId="164" xfId="0" applyAlignment="1" applyBorder="1" applyFont="1" applyNumberFormat="1">
      <alignment horizontal="center" readingOrder="0" shrinkToFit="0" vertical="center" wrapText="1"/>
    </xf>
    <xf borderId="1" fillId="0" fontId="36" numFmtId="0" xfId="0" applyAlignment="1" applyBorder="1" applyFont="1">
      <alignment horizontal="center" shrinkToFit="0" vertical="center" wrapText="1"/>
    </xf>
    <xf borderId="1" fillId="0" fontId="37" numFmtId="0" xfId="0" applyAlignment="1" applyBorder="1" applyFont="1">
      <alignment horizontal="center" shrinkToFit="0" vertical="center" wrapText="1"/>
    </xf>
    <xf borderId="0" fillId="0" fontId="35" numFmtId="0" xfId="0" applyAlignment="1" applyFont="1">
      <alignment horizontal="center" readingOrder="0" shrinkToFit="0" vertical="center" wrapText="1"/>
    </xf>
    <xf borderId="2" fillId="0" fontId="21" numFmtId="0" xfId="0" applyAlignment="1" applyBorder="1" applyFont="1">
      <alignment horizontal="center"/>
    </xf>
    <xf borderId="0" fillId="0" fontId="29" numFmtId="0" xfId="0" applyAlignment="1" applyFont="1">
      <alignment readingOrder="0" shrinkToFit="0" vertical="center" wrapText="1"/>
    </xf>
    <xf borderId="0" fillId="0" fontId="37" numFmtId="0" xfId="0" applyAlignment="1" applyFont="1">
      <alignment shrinkToFit="0" vertical="center" wrapText="1"/>
    </xf>
    <xf borderId="2" fillId="0" fontId="24" numFmtId="0" xfId="0" applyAlignment="1" applyBorder="1" applyFont="1">
      <alignment horizontal="center" readingOrder="0" shrinkToFit="0" vertical="bottom" wrapText="0"/>
    </xf>
    <xf borderId="2" fillId="0" fontId="24" numFmtId="0" xfId="0" applyAlignment="1" applyBorder="1" applyFont="1">
      <alignment readingOrder="0" shrinkToFit="0" vertical="center" wrapText="1"/>
    </xf>
    <xf borderId="1" fillId="0" fontId="21" numFmtId="0" xfId="0" applyAlignment="1" applyBorder="1" applyFont="1">
      <alignment horizontal="center"/>
    </xf>
    <xf borderId="1" fillId="0" fontId="24" numFmtId="0" xfId="0" applyAlignment="1" applyBorder="1" applyFont="1">
      <alignment readingOrder="0" shrinkToFit="0" vertical="center" wrapText="1"/>
    </xf>
    <xf borderId="0" fillId="0" fontId="21" numFmtId="0" xfId="0" applyAlignment="1" applyFont="1">
      <alignment horizontal="center"/>
    </xf>
    <xf borderId="1" fillId="0" fontId="24" numFmtId="0" xfId="0" applyAlignment="1" applyBorder="1" applyFont="1">
      <alignment horizontal="center" readingOrder="0" shrinkToFit="0" vertical="bottom" wrapText="0"/>
    </xf>
    <xf borderId="1" fillId="0" fontId="25" numFmtId="0" xfId="0" applyAlignment="1" applyBorder="1" applyFont="1">
      <alignment readingOrder="0" shrinkToFit="0" vertical="center" wrapText="1"/>
    </xf>
    <xf borderId="1" fillId="0" fontId="26" numFmtId="3" xfId="0" applyAlignment="1" applyBorder="1" applyFont="1" applyNumberFormat="1">
      <alignment horizontal="center"/>
    </xf>
    <xf borderId="1" fillId="0" fontId="26" numFmtId="167" xfId="0" applyBorder="1" applyFont="1" applyNumberFormat="1"/>
    <xf borderId="1" fillId="0" fontId="25" numFmtId="164" xfId="0" applyAlignment="1" applyBorder="1" applyFont="1" applyNumberForma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165" xfId="0" applyBorder="1" applyFont="1" applyNumberFormat="1"/>
    <xf borderId="1" fillId="0" fontId="37" numFmtId="0" xfId="0" applyAlignment="1" applyBorder="1" applyFont="1">
      <alignment shrinkToFit="0" vertical="center" wrapText="1"/>
    </xf>
    <xf borderId="1" fillId="0" fontId="24" numFmtId="164" xfId="0" applyAlignment="1" applyBorder="1" applyFont="1" applyNumberFormat="1">
      <alignment horizontal="center" readingOrder="0" shrinkToFit="0" vertical="bottom" wrapText="0"/>
    </xf>
    <xf borderId="0" fillId="0" fontId="32" numFmtId="0" xfId="0" applyAlignment="1" applyFont="1">
      <alignment vertical="bottom"/>
    </xf>
    <xf borderId="1" fillId="0" fontId="30" numFmtId="0" xfId="0" applyAlignment="1" applyBorder="1" applyFont="1">
      <alignment readingOrder="0" shrinkToFit="0" vertical="center" wrapText="1"/>
    </xf>
    <xf borderId="1" fillId="0" fontId="30" numFmtId="164" xfId="0" applyAlignment="1" applyBorder="1" applyFont="1" applyNumberFormat="1">
      <alignment horizontal="center" readingOrder="0" shrinkToFit="0" vertical="center" wrapText="1"/>
    </xf>
    <xf borderId="1" fillId="0" fontId="30" numFmtId="164" xfId="0" applyAlignment="1" applyBorder="1" applyFont="1" applyNumberFormat="1">
      <alignment horizontal="center" readingOrder="0" shrinkToFit="0" vertical="bottom" wrapText="0"/>
    </xf>
    <xf borderId="0" fillId="0" fontId="37" numFmtId="0" xfId="0" applyAlignment="1" applyFont="1">
      <alignment horizontal="center" shrinkToFit="0" vertical="bottom" wrapText="0"/>
    </xf>
    <xf borderId="1" fillId="0" fontId="26" numFmtId="0" xfId="0" applyAlignment="1" applyBorder="1" applyFont="1">
      <alignment horizontal="center"/>
    </xf>
    <xf borderId="1" fillId="0" fontId="26" numFmtId="0" xfId="0" applyBorder="1" applyFont="1"/>
    <xf borderId="1" fillId="0" fontId="26" numFmtId="10" xfId="0" applyAlignment="1" applyBorder="1" applyFont="1" applyNumberFormat="1">
      <alignment horizontal="center"/>
    </xf>
    <xf borderId="0" fillId="0" fontId="10" numFmtId="0" xfId="0" applyAlignment="1" applyFont="1">
      <alignment shrinkToFit="0" wrapText="1"/>
    </xf>
    <xf borderId="0" fillId="0" fontId="0" numFmtId="0" xfId="0" applyFont="1"/>
    <xf borderId="1" fillId="0" fontId="26" numFmtId="168" xfId="0" applyAlignment="1" applyBorder="1" applyFont="1" applyNumberFormat="1">
      <alignment horizontal="center" vertical="bottom"/>
    </xf>
    <xf borderId="2" fillId="0" fontId="21" numFmtId="0" xfId="0" applyAlignment="1" applyBorder="1" applyFont="1">
      <alignment vertical="top"/>
    </xf>
    <xf borderId="1" fillId="0" fontId="26" numFmtId="9" xfId="0" applyAlignment="1" applyBorder="1" applyFont="1" applyNumberFormat="1">
      <alignment horizontal="center" vertical="bottom"/>
    </xf>
    <xf borderId="1" fillId="0" fontId="21" numFmtId="165" xfId="0" applyAlignment="1" applyBorder="1" applyFont="1" applyNumberFormat="1">
      <alignment horizontal="center" vertical="bottom"/>
    </xf>
    <xf borderId="1" fillId="0" fontId="21" numFmtId="2" xfId="0" applyAlignment="1" applyBorder="1" applyFont="1" applyNumberFormat="1">
      <alignment horizontal="center" vertical="bottom"/>
    </xf>
    <xf borderId="2" fillId="0" fontId="21" numFmtId="0" xfId="0" applyAlignment="1" applyBorder="1" applyFont="1">
      <alignment vertical="bottom"/>
    </xf>
    <xf borderId="1" fillId="0" fontId="21" numFmtId="164" xfId="0" applyAlignment="1" applyBorder="1" applyFont="1" applyNumberFormat="1">
      <alignment horizontal="center" vertical="bottom"/>
    </xf>
    <xf borderId="2" fillId="0" fontId="21" numFmtId="164" xfId="0" applyAlignment="1" applyBorder="1" applyFont="1" applyNumberFormat="1">
      <alignment vertical="bottom"/>
    </xf>
    <xf borderId="1" fillId="0" fontId="21" numFmtId="9" xfId="0" applyAlignment="1" applyBorder="1" applyFont="1" applyNumberFormat="1">
      <alignment horizontal="center" vertical="bottom"/>
    </xf>
    <xf borderId="9" fillId="0" fontId="21" numFmtId="0" xfId="0" applyAlignment="1" applyBorder="1" applyFont="1">
      <alignment horizontal="center" vertical="center"/>
    </xf>
    <xf borderId="2" fillId="0" fontId="21" numFmtId="0" xfId="0" applyAlignment="1" applyBorder="1" applyFont="1">
      <alignment horizontal="center" vertical="center"/>
    </xf>
    <xf borderId="1" fillId="0" fontId="21" numFmtId="0" xfId="0" applyAlignment="1" applyBorder="1" applyFont="1">
      <alignment horizontal="left" vertical="center"/>
    </xf>
    <xf borderId="1" fillId="0" fontId="26" numFmtId="0" xfId="0" applyAlignment="1" applyBorder="1" applyFont="1">
      <alignment horizontal="center" vertical="center"/>
    </xf>
    <xf borderId="1" fillId="0" fontId="26" numFmtId="3" xfId="0" applyAlignment="1" applyBorder="1" applyFont="1" applyNumberFormat="1">
      <alignment horizontal="center" vertical="center"/>
    </xf>
    <xf borderId="1" fillId="0" fontId="26" numFmtId="165" xfId="0" applyAlignment="1" applyBorder="1" applyFont="1" applyNumberFormat="1">
      <alignment horizontal="center" vertical="center"/>
    </xf>
    <xf borderId="1" fillId="0" fontId="26" numFmtId="168" xfId="0" applyAlignment="1" applyBorder="1" applyFont="1" applyNumberFormat="1">
      <alignment horizontal="center" vertical="center"/>
    </xf>
    <xf borderId="12" fillId="0" fontId="21" numFmtId="0" xfId="0" applyAlignment="1" applyBorder="1" applyFont="1">
      <alignment horizontal="center" vertical="center"/>
    </xf>
    <xf borderId="13" fillId="0" fontId="4" numFmtId="0" xfId="0" applyBorder="1" applyFont="1"/>
    <xf borderId="14" fillId="0" fontId="4" numFmtId="0" xfId="0" applyBorder="1" applyFont="1"/>
    <xf borderId="1" fillId="0" fontId="32" numFmtId="0" xfId="0" applyAlignment="1" applyBorder="1" applyFont="1">
      <alignment vertical="center"/>
    </xf>
    <xf borderId="1" fillId="0" fontId="26" numFmtId="3" xfId="0" applyAlignment="1" applyBorder="1" applyFont="1" applyNumberFormat="1">
      <alignment horizontal="center" readingOrder="0" vertical="center"/>
    </xf>
    <xf borderId="2" fillId="0" fontId="32" numFmtId="0" xfId="0" applyAlignment="1" applyBorder="1" applyFont="1">
      <alignment vertical="center"/>
    </xf>
    <xf borderId="0" fillId="0" fontId="10" numFmtId="0" xfId="0" applyAlignment="1" applyFont="1">
      <alignment horizontal="center"/>
    </xf>
    <xf borderId="0" fillId="0" fontId="10"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c Nguyen" id="{01d54c61-9662-420f-a70f-b908df2b8fe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8T15:54:06.00" personId="{01d54c61-9662-420f-a70f-b908df2b8fee}" id="{1d79c828-91bf-4187-8b4a-5dbda99d4b3f}" done="1">
    <x18tc:text xml:space="preserve">m ơi chuyên ngành học mà=))))</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mis.misa.vn/136043/chi-phi-khi-thanh-lap-doanh-nghiep/" TargetMode="External"/><Relationship Id="rId2" Type="http://schemas.openxmlformats.org/officeDocument/2006/relationships/hyperlink" Target="https://www.dienmayxanh.com/may-in/laser-brother-dcpb7620dw"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ketoanats.vn/cong-ty-dong-bao-hiem-cho-nhan-vien-bao-nhieu/"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8.5"/>
    <col customWidth="1" min="3" max="3" width="8.75"/>
    <col customWidth="1" min="4" max="4" width="14.25"/>
    <col customWidth="1" min="5" max="5" width="15.38"/>
    <col customWidth="1" min="6" max="6" width="16.38"/>
    <col customWidth="1" min="7" max="7" width="7.25"/>
  </cols>
  <sheetData>
    <row r="1">
      <c r="A1" s="1" t="s">
        <v>0</v>
      </c>
      <c r="B1" s="1" t="s">
        <v>2</v>
      </c>
      <c r="C1" s="1" t="s">
        <v>3</v>
      </c>
      <c r="D1" s="1" t="s">
        <v>5</v>
      </c>
      <c r="E1" s="1" t="s">
        <v>7</v>
      </c>
      <c r="F1" s="1" t="s">
        <v>8</v>
      </c>
      <c r="G1" s="1" t="s">
        <v>9</v>
      </c>
    </row>
    <row r="2">
      <c r="A2" s="5">
        <v>1.0</v>
      </c>
      <c r="B2" s="12" t="s">
        <v>12</v>
      </c>
      <c r="C2" s="14">
        <v>2008.0</v>
      </c>
      <c r="D2" s="14" t="s">
        <v>13</v>
      </c>
      <c r="E2" s="14" t="s">
        <v>14</v>
      </c>
      <c r="F2" s="14" t="s">
        <v>16</v>
      </c>
      <c r="G2" s="12"/>
    </row>
    <row r="3">
      <c r="A3" s="5">
        <v>2.0</v>
      </c>
      <c r="B3" s="12" t="s">
        <v>17</v>
      </c>
      <c r="C3" s="14">
        <v>2005.0</v>
      </c>
      <c r="D3" s="12" t="s">
        <v>19</v>
      </c>
      <c r="E3" s="14" t="s">
        <v>22</v>
      </c>
      <c r="F3" s="14" t="s">
        <v>25</v>
      </c>
      <c r="G3" s="12"/>
    </row>
    <row r="4">
      <c r="A4" s="5">
        <v>3.0</v>
      </c>
      <c r="B4" s="12" t="s">
        <v>29</v>
      </c>
      <c r="C4" s="14">
        <v>2007.0</v>
      </c>
      <c r="D4" s="14" t="s">
        <v>31</v>
      </c>
      <c r="E4" s="14" t="s">
        <v>34</v>
      </c>
      <c r="F4" s="14" t="s">
        <v>36</v>
      </c>
      <c r="G4" s="12"/>
    </row>
    <row r="5">
      <c r="A5" s="5">
        <v>4.0</v>
      </c>
      <c r="B5" s="12" t="s">
        <v>38</v>
      </c>
      <c r="C5" s="14">
        <v>2006.0</v>
      </c>
      <c r="D5" s="12" t="s">
        <v>39</v>
      </c>
      <c r="E5" s="14" t="s">
        <v>40</v>
      </c>
      <c r="F5" s="14" t="s">
        <v>41</v>
      </c>
      <c r="G5" s="12"/>
    </row>
    <row r="6">
      <c r="A6" s="5">
        <v>5.0</v>
      </c>
      <c r="B6" s="12" t="s">
        <v>43</v>
      </c>
      <c r="C6" s="14">
        <v>2007.0</v>
      </c>
      <c r="D6" s="12" t="s">
        <v>46</v>
      </c>
      <c r="E6" s="14" t="s">
        <v>47</v>
      </c>
      <c r="F6" s="14" t="s">
        <v>25</v>
      </c>
      <c r="G6" s="1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5.38"/>
    <col customWidth="1" min="3" max="3" width="46.25"/>
    <col customWidth="1" min="5" max="5" width="18.13"/>
    <col customWidth="1" min="7" max="7" width="31.38"/>
    <col customWidth="1" min="8" max="8" width="64.38"/>
    <col customWidth="1" min="9" max="9" width="49.13"/>
  </cols>
  <sheetData>
    <row r="1">
      <c r="A1" s="2" t="s">
        <v>1</v>
      </c>
      <c r="B1" s="4"/>
      <c r="C1" s="4"/>
      <c r="D1" s="4"/>
      <c r="E1" s="4"/>
      <c r="F1" s="8"/>
    </row>
    <row r="2" ht="55.5" customHeight="1">
      <c r="A2" s="13"/>
      <c r="B2" s="15" t="s">
        <v>15</v>
      </c>
      <c r="C2" s="15" t="s">
        <v>18</v>
      </c>
      <c r="D2" s="15" t="s">
        <v>21</v>
      </c>
      <c r="E2" s="15" t="s">
        <v>24</v>
      </c>
      <c r="F2" s="15" t="s">
        <v>26</v>
      </c>
      <c r="G2" s="15" t="s">
        <v>28</v>
      </c>
      <c r="H2" s="20" t="s">
        <v>33</v>
      </c>
    </row>
    <row r="3">
      <c r="A3" s="21">
        <v>1.0</v>
      </c>
      <c r="B3" s="21" t="s">
        <v>23</v>
      </c>
      <c r="C3" s="23" t="s">
        <v>44</v>
      </c>
      <c r="D3" s="21" t="s">
        <v>48</v>
      </c>
      <c r="E3" s="21" t="s">
        <v>49</v>
      </c>
      <c r="F3" s="21" t="s">
        <v>50</v>
      </c>
      <c r="G3" s="23" t="s">
        <v>52</v>
      </c>
    </row>
    <row r="4">
      <c r="A4" s="21">
        <v>2.0</v>
      </c>
      <c r="B4" s="21" t="s">
        <v>42</v>
      </c>
      <c r="C4" s="23" t="s">
        <v>56</v>
      </c>
      <c r="D4" s="21" t="s">
        <v>57</v>
      </c>
      <c r="E4" s="21" t="s">
        <v>49</v>
      </c>
      <c r="F4" s="21" t="s">
        <v>59</v>
      </c>
      <c r="G4" s="23" t="s">
        <v>61</v>
      </c>
    </row>
    <row r="5">
      <c r="A5" s="21">
        <v>3.0</v>
      </c>
      <c r="B5" s="21" t="s">
        <v>51</v>
      </c>
      <c r="C5" s="23" t="s">
        <v>64</v>
      </c>
      <c r="D5" s="21" t="s">
        <v>65</v>
      </c>
      <c r="E5" s="21" t="s">
        <v>66</v>
      </c>
      <c r="F5" s="21" t="s">
        <v>67</v>
      </c>
      <c r="G5" s="23" t="s">
        <v>68</v>
      </c>
    </row>
    <row r="6">
      <c r="A6" s="21">
        <v>4.0</v>
      </c>
      <c r="B6" s="21" t="s">
        <v>70</v>
      </c>
      <c r="C6" s="23" t="s">
        <v>71</v>
      </c>
      <c r="D6" s="21" t="s">
        <v>72</v>
      </c>
      <c r="E6" s="21" t="s">
        <v>74</v>
      </c>
      <c r="F6" s="21" t="s">
        <v>76</v>
      </c>
      <c r="G6" s="23" t="s">
        <v>80</v>
      </c>
    </row>
    <row r="7">
      <c r="A7" s="21">
        <v>5.0</v>
      </c>
      <c r="B7" s="21" t="s">
        <v>83</v>
      </c>
      <c r="C7" s="23" t="s">
        <v>84</v>
      </c>
      <c r="D7" s="21" t="s">
        <v>85</v>
      </c>
      <c r="E7" s="21" t="s">
        <v>86</v>
      </c>
      <c r="F7" s="21" t="s">
        <v>87</v>
      </c>
      <c r="G7" s="23" t="s">
        <v>88</v>
      </c>
    </row>
    <row r="9">
      <c r="A9" s="2" t="s">
        <v>90</v>
      </c>
      <c r="B9" s="4"/>
      <c r="C9" s="8"/>
      <c r="E9" s="2" t="s">
        <v>94</v>
      </c>
      <c r="F9" s="4"/>
      <c r="G9" s="4"/>
      <c r="H9" s="4"/>
      <c r="I9" s="8"/>
    </row>
    <row r="10">
      <c r="A10" s="34" t="s">
        <v>98</v>
      </c>
      <c r="B10" s="34" t="s">
        <v>100</v>
      </c>
      <c r="C10" s="34" t="s">
        <v>101</v>
      </c>
      <c r="E10" s="37" t="s">
        <v>103</v>
      </c>
      <c r="F10" s="37" t="s">
        <v>104</v>
      </c>
      <c r="G10" s="37" t="s">
        <v>105</v>
      </c>
      <c r="H10" s="37" t="s">
        <v>106</v>
      </c>
      <c r="I10" s="37" t="s">
        <v>107</v>
      </c>
    </row>
    <row r="11">
      <c r="A11" s="39" t="s">
        <v>108</v>
      </c>
      <c r="B11" s="39" t="s">
        <v>109</v>
      </c>
      <c r="C11" s="39" t="s">
        <v>110</v>
      </c>
      <c r="E11" s="39" t="s">
        <v>111</v>
      </c>
      <c r="F11" s="39">
        <v>2026.0</v>
      </c>
      <c r="G11" s="39" t="s">
        <v>113</v>
      </c>
      <c r="H11" s="39" t="s">
        <v>114</v>
      </c>
      <c r="I11" s="39" t="s">
        <v>115</v>
      </c>
    </row>
    <row r="12">
      <c r="A12" s="39" t="s">
        <v>116</v>
      </c>
      <c r="B12" s="39" t="s">
        <v>118</v>
      </c>
      <c r="C12" s="39" t="s">
        <v>119</v>
      </c>
      <c r="E12" s="39" t="s">
        <v>120</v>
      </c>
      <c r="F12" s="39" t="s">
        <v>121</v>
      </c>
      <c r="G12" s="39" t="s">
        <v>122</v>
      </c>
      <c r="H12" s="39" t="s">
        <v>123</v>
      </c>
      <c r="I12" s="39" t="s">
        <v>124</v>
      </c>
    </row>
    <row r="13">
      <c r="A13" s="39" t="s">
        <v>125</v>
      </c>
      <c r="B13" s="39" t="s">
        <v>126</v>
      </c>
      <c r="C13" s="39" t="s">
        <v>127</v>
      </c>
      <c r="E13" s="39" t="s">
        <v>128</v>
      </c>
      <c r="F13" s="39">
        <v>2028.0</v>
      </c>
      <c r="G13" s="39" t="s">
        <v>129</v>
      </c>
      <c r="H13" s="39" t="s">
        <v>130</v>
      </c>
      <c r="I13" s="39" t="s">
        <v>131</v>
      </c>
    </row>
    <row r="14">
      <c r="A14" s="39" t="s">
        <v>132</v>
      </c>
      <c r="B14" s="39" t="s">
        <v>133</v>
      </c>
      <c r="C14" s="39" t="s">
        <v>134</v>
      </c>
      <c r="E14" s="39" t="s">
        <v>135</v>
      </c>
      <c r="F14" s="39" t="s">
        <v>136</v>
      </c>
      <c r="G14" s="39" t="s">
        <v>137</v>
      </c>
      <c r="H14" s="39" t="s">
        <v>138</v>
      </c>
      <c r="I14" s="39" t="s">
        <v>139</v>
      </c>
    </row>
    <row r="15">
      <c r="A15" s="39" t="s">
        <v>140</v>
      </c>
      <c r="B15" s="39" t="s">
        <v>141</v>
      </c>
      <c r="C15" s="39" t="s">
        <v>142</v>
      </c>
      <c r="E15" s="39" t="s">
        <v>143</v>
      </c>
      <c r="F15" s="39" t="s">
        <v>144</v>
      </c>
      <c r="G15" s="39" t="s">
        <v>145</v>
      </c>
      <c r="H15" s="39" t="s">
        <v>146</v>
      </c>
      <c r="I15" s="39" t="s">
        <v>147</v>
      </c>
    </row>
    <row r="16">
      <c r="A16" s="39" t="s">
        <v>148</v>
      </c>
      <c r="B16" s="39" t="s">
        <v>149</v>
      </c>
      <c r="C16" s="39" t="s">
        <v>150</v>
      </c>
    </row>
    <row r="17">
      <c r="A17" s="43"/>
    </row>
    <row r="18">
      <c r="A18" s="43"/>
    </row>
    <row r="19">
      <c r="A19" s="44"/>
      <c r="B19" s="45"/>
      <c r="C19" s="45"/>
    </row>
    <row r="20">
      <c r="A20" s="47"/>
      <c r="B20" s="47"/>
      <c r="C20" s="47"/>
    </row>
    <row r="21">
      <c r="A21" s="44"/>
      <c r="B21" s="44"/>
      <c r="C21" s="44"/>
    </row>
    <row r="22">
      <c r="A22" s="44"/>
      <c r="B22" s="44"/>
      <c r="C22" s="44"/>
    </row>
    <row r="23">
      <c r="A23" s="44"/>
      <c r="B23" s="44"/>
      <c r="C23" s="44"/>
    </row>
    <row r="24">
      <c r="A24" s="44"/>
      <c r="B24" s="44"/>
      <c r="C24" s="44"/>
    </row>
    <row r="25">
      <c r="A25" s="44"/>
      <c r="B25" s="44"/>
      <c r="C25" s="44"/>
    </row>
  </sheetData>
  <mergeCells count="3">
    <mergeCell ref="A1:F1"/>
    <mergeCell ref="A9:C9"/>
    <mergeCell ref="E9:I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3.88"/>
    <col customWidth="1" min="3" max="3" width="18.0"/>
    <col customWidth="1" min="4" max="4" width="23.5"/>
    <col customWidth="1" min="5" max="5" width="20.5"/>
    <col customWidth="1" min="6" max="6" width="21.38"/>
  </cols>
  <sheetData>
    <row r="1">
      <c r="A1" s="6" t="s">
        <v>4</v>
      </c>
      <c r="B1" s="4"/>
      <c r="C1" s="4"/>
      <c r="D1" s="4"/>
      <c r="E1" s="4"/>
      <c r="F1" s="8"/>
      <c r="G1" s="11"/>
      <c r="H1" s="11"/>
      <c r="I1" s="11"/>
      <c r="J1" s="11"/>
      <c r="K1" s="11"/>
      <c r="L1" s="11"/>
      <c r="M1" s="11"/>
      <c r="N1" s="11"/>
      <c r="O1" s="11"/>
      <c r="P1" s="11"/>
      <c r="Q1" s="11"/>
      <c r="R1" s="11"/>
      <c r="S1" s="11"/>
      <c r="T1" s="11"/>
      <c r="U1" s="11"/>
      <c r="V1" s="11"/>
      <c r="W1" s="11"/>
      <c r="X1" s="11"/>
      <c r="Y1" s="11"/>
      <c r="Z1" s="11"/>
    </row>
    <row r="2">
      <c r="A2" s="17" t="s">
        <v>20</v>
      </c>
      <c r="B2" s="17" t="s">
        <v>27</v>
      </c>
      <c r="C2" s="17" t="s">
        <v>30</v>
      </c>
      <c r="D2" s="17" t="s">
        <v>32</v>
      </c>
      <c r="E2" s="17" t="s">
        <v>35</v>
      </c>
      <c r="F2" s="17" t="s">
        <v>37</v>
      </c>
      <c r="G2" s="11"/>
      <c r="H2" s="11"/>
      <c r="I2" s="11"/>
      <c r="J2" s="11"/>
      <c r="K2" s="11"/>
      <c r="L2" s="11"/>
      <c r="M2" s="11"/>
      <c r="N2" s="11"/>
      <c r="O2" s="11"/>
      <c r="P2" s="11"/>
      <c r="Q2" s="11"/>
      <c r="R2" s="11"/>
      <c r="S2" s="11"/>
      <c r="T2" s="11"/>
      <c r="U2" s="11"/>
      <c r="V2" s="11"/>
      <c r="W2" s="11"/>
      <c r="X2" s="11"/>
      <c r="Y2" s="11"/>
      <c r="Z2" s="11"/>
    </row>
    <row r="3">
      <c r="A3" s="24" t="s">
        <v>45</v>
      </c>
      <c r="B3" s="24" t="s">
        <v>53</v>
      </c>
      <c r="C3" s="24" t="s">
        <v>55</v>
      </c>
      <c r="D3" s="24" t="s">
        <v>58</v>
      </c>
      <c r="E3" s="24" t="s">
        <v>60</v>
      </c>
      <c r="F3" s="27" t="s">
        <v>62</v>
      </c>
      <c r="G3" s="11"/>
      <c r="H3" s="11"/>
      <c r="I3" s="11"/>
      <c r="J3" s="11"/>
      <c r="K3" s="11"/>
      <c r="L3" s="11"/>
      <c r="M3" s="11"/>
      <c r="N3" s="11"/>
      <c r="O3" s="11"/>
      <c r="P3" s="11"/>
      <c r="Q3" s="11"/>
      <c r="R3" s="11"/>
      <c r="S3" s="11"/>
      <c r="T3" s="11"/>
      <c r="U3" s="11"/>
      <c r="V3" s="11"/>
      <c r="W3" s="11"/>
      <c r="X3" s="11"/>
      <c r="Y3" s="11"/>
      <c r="Z3" s="11"/>
    </row>
    <row r="4">
      <c r="A4" s="17" t="s">
        <v>79</v>
      </c>
      <c r="B4" s="17" t="s">
        <v>81</v>
      </c>
      <c r="C4" s="30" t="s">
        <v>82</v>
      </c>
      <c r="D4" s="4"/>
      <c r="E4" s="8"/>
      <c r="F4" s="22"/>
      <c r="G4" s="11"/>
      <c r="H4" s="11"/>
      <c r="I4" s="11"/>
      <c r="J4" s="11"/>
      <c r="K4" s="11"/>
      <c r="L4" s="11"/>
      <c r="M4" s="11"/>
      <c r="N4" s="11"/>
      <c r="O4" s="11"/>
      <c r="P4" s="11"/>
      <c r="Q4" s="11"/>
      <c r="R4" s="11"/>
      <c r="S4" s="11"/>
      <c r="T4" s="11"/>
      <c r="U4" s="11"/>
      <c r="V4" s="11"/>
      <c r="W4" s="11"/>
      <c r="X4" s="11"/>
      <c r="Y4" s="11"/>
      <c r="Z4" s="11"/>
    </row>
    <row r="5">
      <c r="A5" s="24" t="s">
        <v>95</v>
      </c>
      <c r="B5" s="24" t="s">
        <v>96</v>
      </c>
      <c r="C5" s="36" t="s">
        <v>99</v>
      </c>
      <c r="D5" s="4"/>
      <c r="E5" s="8"/>
      <c r="F5" s="38"/>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A1:F1"/>
    <mergeCell ref="F3:F5"/>
    <mergeCell ref="C4:E4"/>
    <mergeCell ref="C5:E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25"/>
    <col customWidth="1" min="3" max="3" width="18.25"/>
    <col customWidth="1" min="5" max="5" width="4.75"/>
    <col customWidth="1" min="6" max="6" width="15.38"/>
    <col customWidth="1" min="7" max="7" width="53.75"/>
    <col customWidth="1" min="8" max="8" width="20.0"/>
    <col customWidth="1" min="9" max="9" width="21.88"/>
    <col customWidth="1" min="10" max="10" width="17.13"/>
  </cols>
  <sheetData>
    <row r="1">
      <c r="A1" s="3" t="s">
        <v>6</v>
      </c>
      <c r="B1" s="3" t="s">
        <v>10</v>
      </c>
      <c r="C1" s="3" t="s">
        <v>11</v>
      </c>
      <c r="D1" s="7"/>
      <c r="E1" s="9"/>
      <c r="F1" s="10"/>
      <c r="G1" s="7"/>
      <c r="H1" s="7"/>
      <c r="I1" s="7"/>
      <c r="J1" s="7"/>
      <c r="K1" s="7"/>
      <c r="L1" s="7"/>
      <c r="M1" s="7"/>
      <c r="N1" s="7"/>
      <c r="O1" s="7"/>
      <c r="P1" s="7"/>
      <c r="Q1" s="7"/>
      <c r="R1" s="7"/>
      <c r="S1" s="7"/>
      <c r="T1" s="7"/>
      <c r="U1" s="7"/>
      <c r="V1" s="7"/>
      <c r="W1" s="7"/>
      <c r="X1" s="7"/>
      <c r="Y1" s="7"/>
      <c r="Z1" s="7"/>
      <c r="AA1" s="7"/>
    </row>
    <row r="2">
      <c r="A2" s="16" t="s">
        <v>15</v>
      </c>
      <c r="B2" s="18" t="s">
        <v>23</v>
      </c>
      <c r="C2" s="19"/>
      <c r="D2" s="7"/>
      <c r="E2" s="9"/>
      <c r="F2" s="10"/>
      <c r="G2" s="7"/>
      <c r="H2" s="7"/>
      <c r="I2" s="7"/>
      <c r="J2" s="7"/>
      <c r="K2" s="7"/>
      <c r="L2" s="7"/>
      <c r="M2" s="7"/>
      <c r="N2" s="7"/>
      <c r="O2" s="7"/>
      <c r="P2" s="7"/>
      <c r="Q2" s="7"/>
      <c r="R2" s="7"/>
      <c r="S2" s="7"/>
      <c r="T2" s="7"/>
      <c r="U2" s="7"/>
      <c r="V2" s="7"/>
      <c r="W2" s="7"/>
      <c r="X2" s="7"/>
      <c r="Y2" s="7"/>
      <c r="Z2" s="7"/>
      <c r="AA2" s="7"/>
    </row>
    <row r="3">
      <c r="A3" s="22"/>
      <c r="B3" s="18" t="s">
        <v>42</v>
      </c>
      <c r="C3" s="19"/>
      <c r="D3" s="7"/>
      <c r="E3" s="9"/>
      <c r="F3" s="10"/>
      <c r="G3" s="7"/>
      <c r="H3" s="7"/>
      <c r="I3" s="7"/>
      <c r="J3" s="7"/>
      <c r="K3" s="7"/>
      <c r="L3" s="7"/>
      <c r="M3" s="7"/>
      <c r="N3" s="7"/>
      <c r="O3" s="7"/>
      <c r="P3" s="7"/>
      <c r="Q3" s="7"/>
      <c r="R3" s="7"/>
      <c r="S3" s="7"/>
      <c r="T3" s="7"/>
      <c r="U3" s="7"/>
      <c r="V3" s="7"/>
      <c r="W3" s="7"/>
      <c r="X3" s="7"/>
      <c r="Y3" s="7"/>
      <c r="Z3" s="7"/>
      <c r="AA3" s="7"/>
    </row>
    <row r="4">
      <c r="A4" s="22"/>
      <c r="B4" s="18" t="s">
        <v>51</v>
      </c>
      <c r="C4" s="19"/>
      <c r="D4" s="7"/>
      <c r="E4" s="25" t="s">
        <v>54</v>
      </c>
      <c r="F4" s="4"/>
      <c r="G4" s="4"/>
      <c r="H4" s="8"/>
      <c r="I4" s="7"/>
      <c r="J4" s="26" t="s">
        <v>63</v>
      </c>
      <c r="K4" s="28" t="s">
        <v>69</v>
      </c>
      <c r="L4" s="28" t="s">
        <v>73</v>
      </c>
      <c r="M4" s="28" t="s">
        <v>75</v>
      </c>
      <c r="N4" s="28" t="s">
        <v>77</v>
      </c>
      <c r="O4" s="28" t="s">
        <v>78</v>
      </c>
      <c r="P4" s="7"/>
      <c r="Q4" s="7"/>
      <c r="R4" s="7"/>
      <c r="S4" s="7"/>
      <c r="T4" s="7"/>
      <c r="U4" s="7"/>
      <c r="V4" s="7"/>
      <c r="W4" s="7"/>
      <c r="X4" s="7"/>
      <c r="Y4" s="7"/>
      <c r="Z4" s="7"/>
      <c r="AA4" s="7"/>
    </row>
    <row r="5">
      <c r="A5" s="22"/>
      <c r="B5" s="18" t="s">
        <v>70</v>
      </c>
      <c r="C5" s="19"/>
      <c r="D5" s="7"/>
      <c r="E5" s="29" t="s">
        <v>0</v>
      </c>
      <c r="F5" s="31" t="s">
        <v>89</v>
      </c>
      <c r="G5" s="29" t="s">
        <v>91</v>
      </c>
      <c r="H5" s="29" t="s">
        <v>92</v>
      </c>
      <c r="I5" s="7"/>
      <c r="J5" s="26" t="s">
        <v>93</v>
      </c>
      <c r="K5" s="32"/>
      <c r="L5" s="32"/>
      <c r="M5" s="32"/>
      <c r="N5" s="32"/>
      <c r="O5" s="32"/>
      <c r="P5" s="7"/>
      <c r="Q5" s="7"/>
      <c r="R5" s="7"/>
      <c r="S5" s="7"/>
      <c r="T5" s="7"/>
      <c r="U5" s="7"/>
      <c r="V5" s="7"/>
      <c r="W5" s="7"/>
      <c r="X5" s="7"/>
      <c r="Y5" s="7"/>
      <c r="Z5" s="7"/>
      <c r="AA5" s="7"/>
    </row>
    <row r="6">
      <c r="A6" s="22"/>
      <c r="B6" s="18"/>
      <c r="C6" s="33"/>
      <c r="D6" s="7"/>
      <c r="E6" s="35" t="s">
        <v>97</v>
      </c>
      <c r="F6" s="4"/>
      <c r="G6" s="4"/>
      <c r="H6" s="8"/>
      <c r="I6" s="7"/>
      <c r="J6" s="26" t="s">
        <v>102</v>
      </c>
      <c r="K6" s="32"/>
      <c r="L6" s="32"/>
      <c r="M6" s="32"/>
      <c r="N6" s="32"/>
      <c r="O6" s="32"/>
      <c r="P6" s="7"/>
      <c r="Q6" s="7"/>
      <c r="R6" s="7"/>
      <c r="S6" s="7"/>
      <c r="T6" s="7"/>
      <c r="U6" s="7"/>
      <c r="V6" s="7"/>
      <c r="W6" s="7"/>
      <c r="X6" s="7"/>
      <c r="Y6" s="7"/>
      <c r="Z6" s="7"/>
      <c r="AA6" s="7"/>
    </row>
    <row r="7">
      <c r="A7" s="38"/>
      <c r="B7" s="18" t="s">
        <v>83</v>
      </c>
      <c r="C7" s="33"/>
      <c r="D7" s="7"/>
      <c r="E7" s="40">
        <v>1.0</v>
      </c>
      <c r="F7" s="41" t="s">
        <v>112</v>
      </c>
      <c r="G7" s="42" t="s">
        <v>117</v>
      </c>
      <c r="H7" s="46">
        <f>SUM(CAPEX!G4:G9)</f>
        <v>97000000</v>
      </c>
      <c r="I7" s="7"/>
      <c r="J7" s="26" t="s">
        <v>151</v>
      </c>
      <c r="K7" s="48">
        <f>'DEPRECIATION '!E8</f>
        <v>15896666.67</v>
      </c>
      <c r="L7" s="48">
        <f>'DEPRECIATION '!E8</f>
        <v>15896666.67</v>
      </c>
      <c r="M7" s="48">
        <f>'DEPRECIATION '!E8</f>
        <v>15896666.67</v>
      </c>
      <c r="N7" s="48">
        <f>'DEPRECIATION '!E8</f>
        <v>15896666.67</v>
      </c>
      <c r="O7" s="48">
        <f>'DEPRECIATION '!E8</f>
        <v>15896666.67</v>
      </c>
      <c r="P7" s="7"/>
      <c r="Q7" s="7"/>
      <c r="R7" s="7"/>
      <c r="S7" s="7"/>
      <c r="T7" s="7"/>
      <c r="U7" s="7"/>
      <c r="V7" s="7"/>
      <c r="W7" s="7"/>
      <c r="X7" s="7"/>
      <c r="Y7" s="7"/>
      <c r="Z7" s="7"/>
      <c r="AA7" s="7"/>
    </row>
    <row r="8">
      <c r="A8" s="33" t="s">
        <v>152</v>
      </c>
      <c r="B8" s="19"/>
      <c r="C8" s="19"/>
      <c r="D8" s="7"/>
      <c r="E8" s="40">
        <v>2.0</v>
      </c>
      <c r="F8" s="41" t="s">
        <v>153</v>
      </c>
      <c r="G8" s="42" t="s">
        <v>154</v>
      </c>
      <c r="H8" s="46">
        <f>SUM(CAPEX!G11:G13)</f>
        <v>10000000</v>
      </c>
      <c r="I8" s="7"/>
      <c r="J8" s="26" t="s">
        <v>155</v>
      </c>
      <c r="K8" s="49">
        <f t="shared" ref="K8:O8" si="1">K5-K6-K7</f>
        <v>-15896666.67</v>
      </c>
      <c r="L8" s="49">
        <f t="shared" si="1"/>
        <v>-15896666.67</v>
      </c>
      <c r="M8" s="49">
        <f t="shared" si="1"/>
        <v>-15896666.67</v>
      </c>
      <c r="N8" s="49">
        <f t="shared" si="1"/>
        <v>-15896666.67</v>
      </c>
      <c r="O8" s="49">
        <f t="shared" si="1"/>
        <v>-15896666.67</v>
      </c>
      <c r="P8" s="7"/>
      <c r="Q8" s="7"/>
      <c r="R8" s="7"/>
      <c r="S8" s="7"/>
      <c r="T8" s="7"/>
      <c r="U8" s="7"/>
      <c r="V8" s="7"/>
      <c r="W8" s="7"/>
      <c r="X8" s="7"/>
      <c r="Y8" s="7"/>
      <c r="Z8" s="7"/>
      <c r="AA8" s="7"/>
    </row>
    <row r="9" ht="144.75" customHeight="1">
      <c r="A9" s="7"/>
      <c r="B9" s="7"/>
      <c r="C9" s="7"/>
      <c r="D9" s="7"/>
      <c r="E9" s="40">
        <v>3.0</v>
      </c>
      <c r="F9" s="41" t="s">
        <v>156</v>
      </c>
      <c r="G9" s="42" t="s">
        <v>157</v>
      </c>
      <c r="H9" s="46">
        <f>SUM(CAPEX!G15:G25)</f>
        <v>21408450</v>
      </c>
      <c r="I9" s="50"/>
      <c r="J9" s="7"/>
      <c r="K9" s="7"/>
      <c r="L9" s="7"/>
      <c r="M9" s="7"/>
      <c r="N9" s="7"/>
      <c r="O9" s="7"/>
      <c r="P9" s="7"/>
      <c r="Q9" s="7"/>
      <c r="R9" s="7"/>
      <c r="S9" s="7"/>
      <c r="T9" s="7"/>
      <c r="U9" s="7"/>
      <c r="V9" s="7"/>
      <c r="W9" s="7"/>
      <c r="X9" s="7"/>
      <c r="Y9" s="7"/>
      <c r="Z9" s="7"/>
      <c r="AA9" s="7"/>
    </row>
    <row r="10">
      <c r="A10" s="7"/>
      <c r="B10" s="7"/>
      <c r="C10" s="7"/>
      <c r="D10" s="7"/>
      <c r="E10" s="40">
        <v>4.0</v>
      </c>
      <c r="F10" s="41" t="s">
        <v>158</v>
      </c>
      <c r="G10" s="42" t="s">
        <v>159</v>
      </c>
      <c r="H10" s="46">
        <f>SUM(CAPEX!G27:G32)</f>
        <v>85190000</v>
      </c>
      <c r="I10" s="7"/>
      <c r="J10" s="51"/>
      <c r="K10" s="51"/>
      <c r="L10" s="51"/>
      <c r="M10" s="51"/>
      <c r="N10" s="51"/>
      <c r="O10" s="51"/>
      <c r="P10" s="7"/>
      <c r="Q10" s="7"/>
      <c r="R10" s="7"/>
      <c r="S10" s="7"/>
      <c r="T10" s="7"/>
      <c r="U10" s="7"/>
      <c r="V10" s="7"/>
      <c r="W10" s="7"/>
      <c r="X10" s="7"/>
      <c r="Y10" s="7"/>
      <c r="Z10" s="7"/>
      <c r="AA10" s="7"/>
    </row>
    <row r="11">
      <c r="A11" s="7"/>
      <c r="B11" s="7"/>
      <c r="C11" s="7"/>
      <c r="D11" s="7"/>
      <c r="E11" s="40">
        <v>5.0</v>
      </c>
      <c r="F11" s="41" t="s">
        <v>160</v>
      </c>
      <c r="G11" s="42" t="s">
        <v>161</v>
      </c>
      <c r="H11" s="46">
        <f>SUM(CAPEX!G34:G35)</f>
        <v>15000000</v>
      </c>
      <c r="I11" s="7"/>
      <c r="J11" s="28" t="s">
        <v>162</v>
      </c>
      <c r="K11" s="28" t="s">
        <v>163</v>
      </c>
      <c r="L11" s="28" t="s">
        <v>164</v>
      </c>
      <c r="M11" s="28" t="s">
        <v>165</v>
      </c>
      <c r="N11" s="28" t="s">
        <v>166</v>
      </c>
      <c r="O11" s="28" t="s">
        <v>167</v>
      </c>
      <c r="P11" s="7"/>
      <c r="Q11" s="7"/>
      <c r="R11" s="7"/>
      <c r="S11" s="7"/>
      <c r="T11" s="7"/>
      <c r="U11" s="7"/>
      <c r="V11" s="7"/>
      <c r="W11" s="7"/>
      <c r="X11" s="7"/>
      <c r="Y11" s="7"/>
      <c r="Z11" s="7"/>
      <c r="AA11" s="7"/>
    </row>
    <row r="12">
      <c r="A12" s="7"/>
      <c r="B12" s="7"/>
      <c r="C12" s="7"/>
      <c r="D12" s="7"/>
      <c r="E12" s="35" t="s">
        <v>168</v>
      </c>
      <c r="F12" s="4"/>
      <c r="G12" s="8"/>
      <c r="H12" s="52">
        <f>SUM(H7:H11)</f>
        <v>228598450</v>
      </c>
      <c r="I12" s="7"/>
      <c r="J12" s="28"/>
      <c r="K12" s="28"/>
      <c r="L12" s="28"/>
      <c r="M12" s="28"/>
      <c r="N12" s="28"/>
      <c r="O12" s="28"/>
      <c r="P12" s="7"/>
      <c r="Q12" s="7"/>
      <c r="R12" s="7"/>
      <c r="S12" s="7"/>
      <c r="T12" s="7"/>
      <c r="U12" s="7"/>
      <c r="V12" s="7"/>
      <c r="W12" s="7"/>
      <c r="X12" s="7"/>
      <c r="Y12" s="7"/>
      <c r="Z12" s="7"/>
      <c r="AA12" s="7"/>
    </row>
    <row r="13">
      <c r="A13" s="53"/>
      <c r="B13" s="53"/>
      <c r="C13" s="53"/>
      <c r="D13" s="7"/>
      <c r="E13" s="35" t="s">
        <v>169</v>
      </c>
      <c r="F13" s="4"/>
      <c r="G13" s="4"/>
      <c r="H13" s="8"/>
      <c r="I13" s="7"/>
      <c r="J13" s="54" t="s">
        <v>170</v>
      </c>
      <c r="K13" s="4"/>
      <c r="L13" s="4"/>
      <c r="M13" s="4"/>
      <c r="N13" s="4"/>
      <c r="O13" s="8"/>
      <c r="P13" s="7"/>
      <c r="Q13" s="7"/>
      <c r="R13" s="7"/>
      <c r="S13" s="7"/>
      <c r="T13" s="7"/>
      <c r="U13" s="7"/>
      <c r="V13" s="7"/>
      <c r="W13" s="7"/>
      <c r="X13" s="7"/>
      <c r="Y13" s="7"/>
      <c r="Z13" s="7"/>
      <c r="AA13" s="7"/>
    </row>
    <row r="14">
      <c r="A14" s="53" t="s">
        <v>171</v>
      </c>
      <c r="D14" s="7"/>
      <c r="E14" s="40">
        <v>6.0</v>
      </c>
      <c r="F14" s="41" t="s">
        <v>172</v>
      </c>
      <c r="G14" s="42" t="s">
        <v>173</v>
      </c>
      <c r="H14" s="46">
        <f>SUM(OPEX!F4:F9)</f>
        <v>168000000</v>
      </c>
      <c r="I14" s="7"/>
      <c r="J14" s="28" t="s">
        <v>174</v>
      </c>
      <c r="K14" s="32"/>
      <c r="L14" s="32"/>
      <c r="M14" s="32"/>
      <c r="N14" s="32"/>
      <c r="O14" s="32"/>
      <c r="P14" s="7"/>
      <c r="Q14" s="7"/>
      <c r="R14" s="7"/>
      <c r="S14" s="7"/>
      <c r="T14" s="7"/>
      <c r="U14" s="7"/>
      <c r="V14" s="7"/>
      <c r="W14" s="7"/>
      <c r="X14" s="7"/>
      <c r="Y14" s="7"/>
      <c r="Z14" s="7"/>
      <c r="AA14" s="7"/>
    </row>
    <row r="15">
      <c r="D15" s="7"/>
      <c r="E15" s="40">
        <v>7.0</v>
      </c>
      <c r="F15" s="41" t="s">
        <v>175</v>
      </c>
      <c r="G15" s="42" t="s">
        <v>176</v>
      </c>
      <c r="H15" s="46">
        <f>SUM(OPEX!F11:F16)</f>
        <v>117115000</v>
      </c>
      <c r="I15" s="7"/>
      <c r="J15" s="28" t="s">
        <v>177</v>
      </c>
      <c r="K15" s="32"/>
      <c r="L15" s="32"/>
      <c r="M15" s="32"/>
      <c r="N15" s="32"/>
      <c r="O15" s="32"/>
      <c r="P15" s="7"/>
      <c r="Q15" s="7"/>
      <c r="R15" s="7"/>
      <c r="S15" s="7"/>
      <c r="T15" s="7"/>
      <c r="U15" s="7"/>
      <c r="V15" s="7"/>
      <c r="W15" s="7"/>
      <c r="X15" s="7"/>
      <c r="Y15" s="7"/>
      <c r="Z15" s="7"/>
      <c r="AA15" s="7"/>
    </row>
    <row r="16">
      <c r="D16" s="7"/>
      <c r="E16" s="40">
        <v>8.0</v>
      </c>
      <c r="F16" s="41" t="s">
        <v>178</v>
      </c>
      <c r="G16" s="42" t="s">
        <v>179</v>
      </c>
      <c r="H16" s="46">
        <f>SUM(OPEX!F18:F21)</f>
        <v>108000000</v>
      </c>
      <c r="I16" s="7"/>
      <c r="J16" s="28" t="s">
        <v>180</v>
      </c>
      <c r="K16" s="32"/>
      <c r="L16" s="32"/>
      <c r="M16" s="32"/>
      <c r="N16" s="32"/>
      <c r="O16" s="32"/>
      <c r="P16" s="7"/>
      <c r="Q16" s="7"/>
      <c r="R16" s="7"/>
      <c r="S16" s="7"/>
      <c r="T16" s="7"/>
      <c r="U16" s="7"/>
      <c r="V16" s="7"/>
      <c r="W16" s="7"/>
      <c r="X16" s="7"/>
      <c r="Y16" s="7"/>
      <c r="Z16" s="7"/>
      <c r="AA16" s="7"/>
    </row>
    <row r="17">
      <c r="D17" s="7"/>
      <c r="E17" s="40">
        <v>9.0</v>
      </c>
      <c r="F17" s="41" t="s">
        <v>181</v>
      </c>
      <c r="G17" s="42" t="s">
        <v>182</v>
      </c>
      <c r="H17" s="46">
        <f>SUM(OPEX!F23:F26)</f>
        <v>122400000</v>
      </c>
      <c r="I17" s="7"/>
      <c r="J17" s="28" t="s">
        <v>183</v>
      </c>
      <c r="K17" s="32"/>
      <c r="L17" s="32"/>
      <c r="M17" s="32"/>
      <c r="N17" s="32"/>
      <c r="O17" s="32"/>
      <c r="P17" s="7"/>
      <c r="Q17" s="7"/>
      <c r="R17" s="7"/>
      <c r="S17" s="7"/>
      <c r="T17" s="7"/>
      <c r="U17" s="7"/>
      <c r="V17" s="7"/>
      <c r="W17" s="7"/>
      <c r="X17" s="7"/>
      <c r="Y17" s="7"/>
      <c r="Z17" s="7"/>
      <c r="AA17" s="7"/>
    </row>
    <row r="18">
      <c r="D18" s="7"/>
      <c r="E18" s="40">
        <v>10.0</v>
      </c>
      <c r="F18" s="41" t="s">
        <v>184</v>
      </c>
      <c r="G18" s="42" t="s">
        <v>185</v>
      </c>
      <c r="H18" s="46">
        <f>SUM(OPEX!F28:F33)</f>
        <v>199956000</v>
      </c>
      <c r="I18" s="7"/>
      <c r="J18" s="54" t="s">
        <v>186</v>
      </c>
      <c r="K18" s="4"/>
      <c r="L18" s="4"/>
      <c r="M18" s="4"/>
      <c r="N18" s="4"/>
      <c r="O18" s="8"/>
      <c r="P18" s="7"/>
      <c r="Q18" s="7"/>
      <c r="R18" s="7"/>
      <c r="S18" s="7"/>
      <c r="T18" s="7"/>
      <c r="U18" s="7"/>
      <c r="V18" s="7"/>
      <c r="W18" s="7"/>
      <c r="X18" s="7"/>
      <c r="Y18" s="7"/>
      <c r="Z18" s="7"/>
      <c r="AA18" s="7"/>
    </row>
    <row r="19">
      <c r="D19" s="7"/>
      <c r="E19" s="40">
        <v>11.0</v>
      </c>
      <c r="F19" s="41" t="s">
        <v>187</v>
      </c>
      <c r="G19" s="42" t="s">
        <v>188</v>
      </c>
      <c r="H19" s="46">
        <f>SUM(OPEX!F35:F36)</f>
        <v>42000000</v>
      </c>
      <c r="I19" s="7"/>
      <c r="J19" s="28" t="s">
        <v>189</v>
      </c>
      <c r="K19" s="32"/>
      <c r="L19" s="32"/>
      <c r="M19" s="32"/>
      <c r="N19" s="32"/>
      <c r="O19" s="32"/>
      <c r="P19" s="7"/>
      <c r="Q19" s="7"/>
      <c r="R19" s="7"/>
      <c r="S19" s="7"/>
      <c r="T19" s="7"/>
      <c r="U19" s="7"/>
      <c r="V19" s="7"/>
      <c r="W19" s="7"/>
      <c r="X19" s="7"/>
      <c r="Y19" s="7"/>
      <c r="Z19" s="7"/>
      <c r="AA19" s="7"/>
    </row>
    <row r="20">
      <c r="D20" s="7"/>
      <c r="E20" s="40">
        <v>12.0</v>
      </c>
      <c r="F20" s="41" t="s">
        <v>190</v>
      </c>
      <c r="G20" s="42" t="s">
        <v>191</v>
      </c>
      <c r="H20" s="46">
        <f>OPEX!F39</f>
        <v>188835600</v>
      </c>
      <c r="I20" s="7"/>
      <c r="J20" s="28" t="s">
        <v>192</v>
      </c>
      <c r="K20" s="32"/>
      <c r="L20" s="32"/>
      <c r="M20" s="32"/>
      <c r="N20" s="32"/>
      <c r="O20" s="32"/>
      <c r="P20" s="7"/>
      <c r="Q20" s="7"/>
      <c r="R20" s="7"/>
      <c r="S20" s="7"/>
      <c r="T20" s="7"/>
      <c r="U20" s="7"/>
      <c r="V20" s="7"/>
      <c r="W20" s="7"/>
      <c r="X20" s="7"/>
      <c r="Y20" s="7"/>
      <c r="Z20" s="7"/>
      <c r="AA20" s="7"/>
    </row>
    <row r="21">
      <c r="D21" s="7"/>
      <c r="E21" s="35" t="s">
        <v>168</v>
      </c>
      <c r="F21" s="4"/>
      <c r="G21" s="8"/>
      <c r="H21" s="52">
        <f>SUM(H14:H20)</f>
        <v>946306600</v>
      </c>
      <c r="I21" s="7"/>
      <c r="J21" s="28" t="s">
        <v>193</v>
      </c>
      <c r="K21" s="32"/>
      <c r="L21" s="32"/>
      <c r="M21" s="32"/>
      <c r="N21" s="32"/>
      <c r="O21" s="32"/>
      <c r="P21" s="7"/>
      <c r="Q21" s="7"/>
      <c r="R21" s="7"/>
      <c r="S21" s="7"/>
      <c r="T21" s="7"/>
      <c r="U21" s="7"/>
      <c r="V21" s="7"/>
      <c r="W21" s="7"/>
      <c r="X21" s="7"/>
      <c r="Y21" s="7"/>
      <c r="Z21" s="7"/>
      <c r="AA21" s="7"/>
    </row>
    <row r="22">
      <c r="D22" s="7"/>
      <c r="E22" s="9"/>
      <c r="F22" s="10"/>
      <c r="G22" s="7"/>
      <c r="H22" s="7"/>
      <c r="I22" s="7"/>
      <c r="J22" s="7"/>
      <c r="K22" s="7"/>
      <c r="L22" s="7"/>
      <c r="M22" s="7"/>
      <c r="N22" s="7"/>
      <c r="O22" s="7"/>
      <c r="P22" s="7"/>
      <c r="Q22" s="7"/>
      <c r="R22" s="7"/>
      <c r="S22" s="7"/>
      <c r="T22" s="7"/>
      <c r="U22" s="7"/>
      <c r="V22" s="7"/>
      <c r="W22" s="7"/>
      <c r="X22" s="7"/>
      <c r="Y22" s="7"/>
      <c r="Z22" s="7"/>
      <c r="AA22" s="7"/>
    </row>
    <row r="23">
      <c r="D23" s="7"/>
      <c r="E23" s="9"/>
      <c r="F23" s="10"/>
      <c r="G23" s="7"/>
      <c r="H23" s="7"/>
      <c r="I23" s="7"/>
      <c r="J23" s="28" t="s">
        <v>194</v>
      </c>
      <c r="K23" s="19"/>
      <c r="L23" s="7"/>
      <c r="M23" s="7"/>
      <c r="N23" s="7"/>
      <c r="O23" s="7"/>
      <c r="P23" s="7"/>
      <c r="Q23" s="7"/>
      <c r="R23" s="7"/>
      <c r="S23" s="7"/>
      <c r="T23" s="7"/>
      <c r="U23" s="7"/>
      <c r="V23" s="7"/>
      <c r="W23" s="7"/>
      <c r="X23" s="7"/>
      <c r="Y23" s="7"/>
      <c r="Z23" s="7"/>
      <c r="AA23" s="7"/>
    </row>
    <row r="24">
      <c r="D24" s="7"/>
      <c r="E24" s="9"/>
      <c r="F24" s="10"/>
      <c r="G24" s="7"/>
      <c r="H24" s="7"/>
      <c r="I24" s="7"/>
      <c r="J24" s="28" t="s">
        <v>195</v>
      </c>
      <c r="K24" s="19"/>
      <c r="L24" s="7"/>
      <c r="M24" s="7"/>
      <c r="N24" s="7"/>
      <c r="O24" s="7"/>
      <c r="P24" s="7"/>
      <c r="Q24" s="7"/>
      <c r="R24" s="7"/>
      <c r="S24" s="7"/>
      <c r="T24" s="7"/>
      <c r="U24" s="7"/>
      <c r="V24" s="7"/>
      <c r="W24" s="7"/>
      <c r="X24" s="7"/>
      <c r="Y24" s="7"/>
      <c r="Z24" s="7"/>
      <c r="AA24" s="7"/>
    </row>
    <row r="25">
      <c r="D25" s="7"/>
      <c r="E25" s="9"/>
      <c r="F25" s="10"/>
      <c r="G25" s="7"/>
      <c r="H25" s="7"/>
      <c r="I25" s="7"/>
      <c r="J25" s="28" t="s">
        <v>197</v>
      </c>
      <c r="K25" s="19"/>
      <c r="L25" s="7"/>
      <c r="M25" s="7"/>
      <c r="N25" s="7"/>
      <c r="O25" s="7"/>
      <c r="P25" s="7"/>
      <c r="Q25" s="7"/>
      <c r="R25" s="7"/>
      <c r="S25" s="7"/>
      <c r="T25" s="7"/>
      <c r="U25" s="7"/>
      <c r="V25" s="7"/>
      <c r="W25" s="7"/>
      <c r="X25" s="7"/>
      <c r="Y25" s="7"/>
      <c r="Z25" s="7"/>
      <c r="AA25" s="7"/>
    </row>
    <row r="26">
      <c r="D26" s="7"/>
      <c r="E26" s="9"/>
      <c r="F26" s="10"/>
      <c r="G26" s="7"/>
      <c r="H26" s="7"/>
      <c r="I26" s="7"/>
      <c r="J26" s="28" t="s">
        <v>198</v>
      </c>
      <c r="K26" s="19"/>
      <c r="L26" s="7"/>
      <c r="M26" s="7"/>
      <c r="N26" s="7"/>
      <c r="O26" s="7"/>
      <c r="P26" s="7"/>
      <c r="Q26" s="7"/>
      <c r="R26" s="7"/>
      <c r="S26" s="7"/>
      <c r="T26" s="7"/>
      <c r="U26" s="7"/>
      <c r="V26" s="7"/>
      <c r="W26" s="7"/>
      <c r="X26" s="7"/>
      <c r="Y26" s="7"/>
      <c r="Z26" s="7"/>
      <c r="AA26" s="7"/>
    </row>
    <row r="27">
      <c r="D27" s="7"/>
      <c r="E27" s="9"/>
      <c r="F27" s="10"/>
      <c r="G27" s="7"/>
      <c r="H27" s="7"/>
      <c r="I27" s="7"/>
      <c r="J27" s="28" t="s">
        <v>199</v>
      </c>
      <c r="K27" s="19"/>
      <c r="L27" s="7"/>
      <c r="M27" s="7"/>
      <c r="N27" s="7"/>
      <c r="O27" s="7"/>
      <c r="P27" s="7"/>
      <c r="Q27" s="7"/>
      <c r="R27" s="7"/>
      <c r="S27" s="7"/>
      <c r="T27" s="7"/>
      <c r="U27" s="7"/>
      <c r="V27" s="7"/>
      <c r="W27" s="7"/>
      <c r="X27" s="7"/>
      <c r="Y27" s="7"/>
      <c r="Z27" s="7"/>
      <c r="AA27" s="7"/>
    </row>
    <row r="28">
      <c r="D28" s="7"/>
      <c r="E28" s="9"/>
      <c r="F28" s="10"/>
      <c r="G28" s="7"/>
      <c r="H28" s="7"/>
      <c r="I28" s="7"/>
      <c r="J28" s="7"/>
      <c r="K28" s="7"/>
      <c r="L28" s="7"/>
      <c r="M28" s="7"/>
      <c r="N28" s="7"/>
      <c r="O28" s="7"/>
      <c r="P28" s="7"/>
      <c r="Q28" s="7"/>
      <c r="R28" s="7"/>
      <c r="S28" s="7"/>
      <c r="T28" s="7"/>
      <c r="U28" s="7"/>
      <c r="V28" s="7"/>
      <c r="W28" s="7"/>
      <c r="X28" s="7"/>
      <c r="Y28" s="7"/>
      <c r="Z28" s="7"/>
      <c r="AA28" s="7"/>
    </row>
    <row r="29">
      <c r="D29" s="7"/>
      <c r="E29" s="9"/>
      <c r="F29" s="10"/>
      <c r="G29" s="7"/>
      <c r="H29" s="7"/>
      <c r="I29" s="7"/>
      <c r="J29" s="7"/>
      <c r="K29" s="7"/>
      <c r="L29" s="7"/>
      <c r="M29" s="7"/>
      <c r="N29" s="7"/>
      <c r="O29" s="7"/>
      <c r="P29" s="7"/>
      <c r="Q29" s="7"/>
      <c r="R29" s="7"/>
      <c r="S29" s="7"/>
      <c r="T29" s="7"/>
      <c r="U29" s="7"/>
      <c r="V29" s="7"/>
      <c r="W29" s="7"/>
      <c r="X29" s="7"/>
      <c r="Y29" s="7"/>
      <c r="Z29" s="7"/>
      <c r="AA29" s="7"/>
    </row>
    <row r="30">
      <c r="D30" s="7"/>
      <c r="E30" s="9"/>
      <c r="F30" s="10"/>
      <c r="G30" s="7"/>
      <c r="H30" s="7"/>
      <c r="I30" s="7"/>
      <c r="J30" s="7"/>
      <c r="K30" s="7"/>
      <c r="L30" s="7"/>
      <c r="M30" s="7"/>
      <c r="N30" s="7"/>
      <c r="O30" s="7"/>
      <c r="P30" s="7"/>
      <c r="Q30" s="7"/>
      <c r="R30" s="7"/>
      <c r="S30" s="7"/>
      <c r="T30" s="7"/>
      <c r="U30" s="7"/>
      <c r="V30" s="7"/>
      <c r="W30" s="7"/>
      <c r="X30" s="7"/>
      <c r="Y30" s="7"/>
      <c r="Z30" s="7"/>
      <c r="AA30" s="7"/>
    </row>
    <row r="31">
      <c r="D31" s="7"/>
      <c r="E31" s="9"/>
      <c r="F31" s="10"/>
      <c r="G31" s="7"/>
      <c r="H31" s="7"/>
      <c r="I31" s="7"/>
      <c r="J31" s="7"/>
      <c r="K31" s="7"/>
      <c r="L31" s="7"/>
      <c r="M31" s="7"/>
      <c r="N31" s="7"/>
      <c r="O31" s="7"/>
      <c r="P31" s="7"/>
      <c r="Q31" s="7"/>
      <c r="R31" s="7"/>
      <c r="S31" s="7"/>
      <c r="T31" s="7"/>
      <c r="U31" s="7"/>
      <c r="V31" s="7"/>
      <c r="W31" s="7"/>
      <c r="X31" s="7"/>
      <c r="Y31" s="7"/>
      <c r="Z31" s="7"/>
      <c r="AA31" s="7"/>
    </row>
    <row r="32">
      <c r="D32" s="7"/>
      <c r="E32" s="9"/>
      <c r="F32" s="10"/>
      <c r="G32" s="7"/>
      <c r="H32" s="7"/>
      <c r="I32" s="7"/>
      <c r="J32" s="7"/>
      <c r="K32" s="7"/>
      <c r="L32" s="7"/>
      <c r="M32" s="7"/>
      <c r="N32" s="7"/>
      <c r="O32" s="7"/>
      <c r="P32" s="7"/>
      <c r="Q32" s="7"/>
      <c r="R32" s="7"/>
      <c r="S32" s="7"/>
      <c r="T32" s="7"/>
      <c r="U32" s="7"/>
      <c r="V32" s="7"/>
      <c r="W32" s="7"/>
      <c r="X32" s="7"/>
      <c r="Y32" s="7"/>
      <c r="Z32" s="7"/>
      <c r="AA32" s="7"/>
    </row>
    <row r="33">
      <c r="D33" s="7"/>
      <c r="E33" s="9"/>
      <c r="F33" s="10"/>
      <c r="G33" s="7"/>
      <c r="H33" s="7"/>
      <c r="I33" s="7"/>
      <c r="J33" s="7"/>
      <c r="K33" s="7"/>
      <c r="L33" s="7"/>
      <c r="M33" s="7"/>
      <c r="N33" s="7"/>
      <c r="O33" s="7"/>
      <c r="P33" s="7"/>
      <c r="Q33" s="7"/>
      <c r="R33" s="7"/>
      <c r="S33" s="7"/>
      <c r="T33" s="7"/>
      <c r="U33" s="7"/>
      <c r="V33" s="7"/>
      <c r="W33" s="7"/>
      <c r="X33" s="7"/>
      <c r="Y33" s="7"/>
      <c r="Z33" s="7"/>
      <c r="AA33" s="7"/>
    </row>
    <row r="34">
      <c r="D34" s="7"/>
      <c r="E34" s="9"/>
      <c r="F34" s="10"/>
      <c r="G34" s="7"/>
      <c r="H34" s="7"/>
      <c r="I34" s="7"/>
      <c r="J34" s="7"/>
      <c r="K34" s="7"/>
      <c r="L34" s="7"/>
      <c r="M34" s="7"/>
      <c r="N34" s="7"/>
      <c r="O34" s="7"/>
      <c r="P34" s="7"/>
      <c r="Q34" s="7"/>
      <c r="R34" s="7"/>
      <c r="S34" s="7"/>
      <c r="T34" s="7"/>
      <c r="U34" s="7"/>
      <c r="V34" s="7"/>
      <c r="W34" s="7"/>
      <c r="X34" s="7"/>
      <c r="Y34" s="7"/>
      <c r="Z34" s="7"/>
      <c r="AA34" s="7"/>
    </row>
    <row r="35">
      <c r="D35" s="7"/>
      <c r="E35" s="9"/>
      <c r="F35" s="10"/>
      <c r="G35" s="7"/>
      <c r="H35" s="7"/>
      <c r="I35" s="7"/>
      <c r="J35" s="7"/>
      <c r="K35" s="7"/>
      <c r="L35" s="7"/>
      <c r="M35" s="7"/>
      <c r="N35" s="7"/>
      <c r="O35" s="7"/>
      <c r="P35" s="7"/>
      <c r="Q35" s="7"/>
      <c r="R35" s="7"/>
      <c r="S35" s="7"/>
      <c r="T35" s="7"/>
      <c r="U35" s="7"/>
      <c r="V35" s="7"/>
      <c r="W35" s="7"/>
      <c r="X35" s="7"/>
      <c r="Y35" s="7"/>
      <c r="Z35" s="7"/>
      <c r="AA35" s="7"/>
    </row>
    <row r="36">
      <c r="D36" s="7"/>
      <c r="E36" s="9"/>
      <c r="F36" s="10"/>
      <c r="G36" s="7"/>
      <c r="H36" s="7"/>
      <c r="I36" s="7"/>
      <c r="J36" s="7"/>
      <c r="K36" s="7"/>
      <c r="L36" s="7"/>
      <c r="M36" s="7"/>
      <c r="N36" s="7"/>
      <c r="O36" s="7"/>
      <c r="P36" s="7"/>
      <c r="Q36" s="7"/>
      <c r="R36" s="7"/>
      <c r="S36" s="7"/>
      <c r="T36" s="7"/>
      <c r="U36" s="7"/>
      <c r="V36" s="7"/>
      <c r="W36" s="7"/>
      <c r="X36" s="7"/>
      <c r="Y36" s="7"/>
      <c r="Z36" s="7"/>
      <c r="AA36" s="7"/>
    </row>
    <row r="37">
      <c r="D37" s="7"/>
      <c r="E37" s="9"/>
      <c r="F37" s="10"/>
      <c r="G37" s="7"/>
      <c r="H37" s="7"/>
      <c r="I37" s="7"/>
      <c r="J37" s="7"/>
      <c r="K37" s="7"/>
      <c r="L37" s="7"/>
      <c r="M37" s="7"/>
      <c r="N37" s="7"/>
      <c r="O37" s="7"/>
      <c r="P37" s="7"/>
      <c r="Q37" s="7"/>
      <c r="R37" s="7"/>
      <c r="S37" s="7"/>
      <c r="T37" s="7"/>
      <c r="U37" s="7"/>
      <c r="V37" s="7"/>
      <c r="W37" s="7"/>
      <c r="X37" s="7"/>
      <c r="Y37" s="7"/>
      <c r="Z37" s="7"/>
      <c r="AA37" s="7"/>
    </row>
    <row r="38">
      <c r="D38" s="7"/>
      <c r="E38" s="9"/>
      <c r="F38" s="10"/>
      <c r="G38" s="7"/>
      <c r="H38" s="7"/>
      <c r="I38" s="7"/>
      <c r="J38" s="7"/>
      <c r="K38" s="7"/>
      <c r="L38" s="7"/>
      <c r="M38" s="7"/>
      <c r="N38" s="7"/>
      <c r="O38" s="7"/>
      <c r="P38" s="7"/>
      <c r="Q38" s="7"/>
      <c r="R38" s="7"/>
      <c r="S38" s="7"/>
      <c r="T38" s="7"/>
      <c r="U38" s="7"/>
      <c r="V38" s="7"/>
      <c r="W38" s="7"/>
      <c r="X38" s="7"/>
      <c r="Y38" s="7"/>
      <c r="Z38" s="7"/>
      <c r="AA38" s="7"/>
    </row>
    <row r="39">
      <c r="D39" s="7"/>
      <c r="E39" s="9"/>
      <c r="F39" s="10"/>
      <c r="G39" s="7"/>
      <c r="H39" s="7"/>
      <c r="I39" s="7"/>
      <c r="J39" s="7"/>
      <c r="K39" s="7"/>
      <c r="L39" s="7"/>
      <c r="M39" s="7"/>
      <c r="N39" s="7"/>
      <c r="O39" s="7"/>
      <c r="P39" s="7"/>
      <c r="Q39" s="7"/>
      <c r="R39" s="7"/>
      <c r="S39" s="7"/>
      <c r="T39" s="7"/>
      <c r="U39" s="7"/>
      <c r="V39" s="7"/>
      <c r="W39" s="7"/>
      <c r="X39" s="7"/>
      <c r="Y39" s="7"/>
      <c r="Z39" s="7"/>
      <c r="AA39" s="7"/>
    </row>
    <row r="40">
      <c r="D40" s="7"/>
      <c r="E40" s="9"/>
      <c r="F40" s="10"/>
      <c r="G40" s="7"/>
      <c r="H40" s="7"/>
      <c r="I40" s="7"/>
      <c r="J40" s="7"/>
      <c r="K40" s="7"/>
      <c r="L40" s="7"/>
      <c r="M40" s="7"/>
      <c r="N40" s="7"/>
      <c r="O40" s="7"/>
      <c r="P40" s="7"/>
      <c r="Q40" s="7"/>
      <c r="R40" s="7"/>
      <c r="S40" s="7"/>
      <c r="T40" s="7"/>
      <c r="U40" s="7"/>
      <c r="V40" s="7"/>
      <c r="W40" s="7"/>
      <c r="X40" s="7"/>
      <c r="Y40" s="7"/>
      <c r="Z40" s="7"/>
      <c r="AA40" s="7"/>
    </row>
    <row r="41">
      <c r="D41" s="7"/>
      <c r="E41" s="9"/>
      <c r="F41" s="10"/>
      <c r="G41" s="7"/>
      <c r="H41" s="7"/>
      <c r="I41" s="7"/>
      <c r="J41" s="7"/>
      <c r="K41" s="7"/>
      <c r="L41" s="7"/>
      <c r="M41" s="7"/>
      <c r="N41" s="7"/>
      <c r="O41" s="7"/>
      <c r="P41" s="7"/>
      <c r="Q41" s="7"/>
      <c r="R41" s="7"/>
      <c r="S41" s="7"/>
      <c r="T41" s="7"/>
      <c r="U41" s="7"/>
      <c r="V41" s="7"/>
      <c r="W41" s="7"/>
      <c r="X41" s="7"/>
      <c r="Y41" s="7"/>
      <c r="Z41" s="7"/>
      <c r="AA41" s="7"/>
    </row>
    <row r="42">
      <c r="D42" s="7"/>
      <c r="E42" s="9"/>
      <c r="F42" s="10"/>
      <c r="G42" s="7"/>
      <c r="H42" s="7"/>
      <c r="I42" s="7"/>
      <c r="J42" s="7"/>
      <c r="K42" s="7"/>
      <c r="L42" s="7"/>
      <c r="M42" s="7"/>
      <c r="N42" s="7"/>
      <c r="O42" s="7"/>
      <c r="P42" s="7"/>
      <c r="Q42" s="7"/>
      <c r="R42" s="7"/>
      <c r="S42" s="7"/>
      <c r="T42" s="7"/>
      <c r="U42" s="7"/>
      <c r="V42" s="7"/>
      <c r="W42" s="7"/>
      <c r="X42" s="7"/>
      <c r="Y42" s="7"/>
      <c r="Z42" s="7"/>
      <c r="AA42" s="7"/>
    </row>
    <row r="43">
      <c r="D43" s="7"/>
      <c r="E43" s="9"/>
      <c r="F43" s="10"/>
      <c r="G43" s="7"/>
      <c r="H43" s="7"/>
      <c r="I43" s="7"/>
      <c r="J43" s="7"/>
      <c r="K43" s="7"/>
      <c r="L43" s="7"/>
      <c r="M43" s="7"/>
      <c r="N43" s="7"/>
      <c r="O43" s="7"/>
      <c r="P43" s="7"/>
      <c r="Q43" s="7"/>
      <c r="R43" s="7"/>
      <c r="S43" s="7"/>
      <c r="T43" s="7"/>
      <c r="U43" s="7"/>
      <c r="V43" s="7"/>
      <c r="W43" s="7"/>
      <c r="X43" s="7"/>
      <c r="Y43" s="7"/>
      <c r="Z43" s="7"/>
      <c r="AA43" s="7"/>
    </row>
    <row r="44">
      <c r="D44" s="7"/>
      <c r="E44" s="9"/>
      <c r="F44" s="10"/>
      <c r="G44" s="7"/>
      <c r="H44" s="7"/>
      <c r="I44" s="7"/>
      <c r="J44" s="7"/>
      <c r="K44" s="7"/>
      <c r="L44" s="7"/>
      <c r="M44" s="7"/>
      <c r="N44" s="7"/>
      <c r="O44" s="7"/>
      <c r="P44" s="7"/>
      <c r="Q44" s="7"/>
      <c r="R44" s="7"/>
      <c r="S44" s="7"/>
      <c r="T44" s="7"/>
      <c r="U44" s="7"/>
      <c r="V44" s="7"/>
      <c r="W44" s="7"/>
      <c r="X44" s="7"/>
      <c r="Y44" s="7"/>
      <c r="Z44" s="7"/>
      <c r="AA44" s="7"/>
    </row>
    <row r="45">
      <c r="D45" s="7"/>
      <c r="E45" s="9"/>
      <c r="F45" s="10"/>
      <c r="G45" s="7"/>
      <c r="H45" s="7"/>
      <c r="I45" s="7"/>
      <c r="J45" s="7"/>
      <c r="K45" s="7"/>
      <c r="L45" s="7"/>
      <c r="M45" s="7"/>
      <c r="N45" s="7"/>
      <c r="O45" s="7"/>
      <c r="P45" s="7"/>
      <c r="Q45" s="7"/>
      <c r="R45" s="7"/>
      <c r="S45" s="7"/>
      <c r="T45" s="7"/>
      <c r="U45" s="7"/>
      <c r="V45" s="7"/>
      <c r="W45" s="7"/>
      <c r="X45" s="7"/>
      <c r="Y45" s="7"/>
      <c r="Z45" s="7"/>
      <c r="AA45" s="7"/>
    </row>
    <row r="46">
      <c r="D46" s="7"/>
      <c r="E46" s="9"/>
      <c r="F46" s="10"/>
      <c r="G46" s="7"/>
      <c r="H46" s="7"/>
      <c r="I46" s="7"/>
      <c r="J46" s="7"/>
      <c r="K46" s="7"/>
      <c r="L46" s="7"/>
      <c r="M46" s="7"/>
      <c r="N46" s="7"/>
      <c r="O46" s="7"/>
      <c r="P46" s="7"/>
      <c r="Q46" s="7"/>
      <c r="R46" s="7"/>
      <c r="S46" s="7"/>
      <c r="T46" s="7"/>
      <c r="U46" s="7"/>
      <c r="V46" s="7"/>
      <c r="W46" s="7"/>
      <c r="X46" s="7"/>
      <c r="Y46" s="7"/>
      <c r="Z46" s="7"/>
      <c r="AA46" s="7"/>
    </row>
    <row r="47">
      <c r="D47" s="7"/>
      <c r="E47" s="9"/>
      <c r="F47" s="10"/>
      <c r="G47" s="7"/>
      <c r="H47" s="7"/>
      <c r="I47" s="7"/>
      <c r="J47" s="7"/>
      <c r="K47" s="7"/>
      <c r="L47" s="7"/>
      <c r="M47" s="7"/>
      <c r="N47" s="7"/>
      <c r="O47" s="7"/>
      <c r="P47" s="7"/>
      <c r="Q47" s="7"/>
      <c r="R47" s="7"/>
      <c r="S47" s="7"/>
      <c r="T47" s="7"/>
      <c r="U47" s="7"/>
      <c r="V47" s="7"/>
      <c r="W47" s="7"/>
      <c r="X47" s="7"/>
      <c r="Y47" s="7"/>
      <c r="Z47" s="7"/>
      <c r="AA47" s="7"/>
    </row>
    <row r="48">
      <c r="D48" s="7"/>
      <c r="E48" s="9"/>
      <c r="F48" s="10"/>
      <c r="G48" s="7"/>
      <c r="H48" s="7"/>
      <c r="I48" s="7"/>
      <c r="J48" s="7"/>
      <c r="K48" s="7"/>
      <c r="L48" s="7"/>
      <c r="M48" s="7"/>
      <c r="N48" s="7"/>
      <c r="O48" s="7"/>
      <c r="P48" s="7"/>
      <c r="Q48" s="7"/>
      <c r="R48" s="7"/>
      <c r="S48" s="7"/>
      <c r="T48" s="7"/>
      <c r="U48" s="7"/>
      <c r="V48" s="7"/>
      <c r="W48" s="7"/>
      <c r="X48" s="7"/>
      <c r="Y48" s="7"/>
      <c r="Z48" s="7"/>
      <c r="AA48" s="7"/>
    </row>
    <row r="49">
      <c r="D49" s="7"/>
      <c r="E49" s="9"/>
      <c r="F49" s="10"/>
      <c r="G49" s="7"/>
      <c r="H49" s="7"/>
      <c r="I49" s="7"/>
      <c r="J49" s="7"/>
      <c r="K49" s="7"/>
      <c r="L49" s="7"/>
      <c r="M49" s="7"/>
      <c r="N49" s="7"/>
      <c r="O49" s="7"/>
      <c r="P49" s="7"/>
      <c r="Q49" s="7"/>
      <c r="R49" s="7"/>
      <c r="S49" s="7"/>
      <c r="T49" s="7"/>
      <c r="U49" s="7"/>
      <c r="V49" s="7"/>
      <c r="W49" s="7"/>
      <c r="X49" s="7"/>
      <c r="Y49" s="7"/>
      <c r="Z49" s="7"/>
      <c r="AA49" s="7"/>
    </row>
    <row r="50">
      <c r="D50" s="7"/>
      <c r="E50" s="9"/>
      <c r="F50" s="10"/>
      <c r="G50" s="7"/>
      <c r="H50" s="7"/>
      <c r="I50" s="7"/>
      <c r="J50" s="7"/>
      <c r="K50" s="7"/>
      <c r="L50" s="7"/>
      <c r="M50" s="7"/>
      <c r="N50" s="7"/>
      <c r="O50" s="7"/>
      <c r="P50" s="7"/>
      <c r="Q50" s="7"/>
      <c r="R50" s="7"/>
      <c r="S50" s="7"/>
      <c r="T50" s="7"/>
      <c r="U50" s="7"/>
      <c r="V50" s="7"/>
      <c r="W50" s="7"/>
      <c r="X50" s="7"/>
      <c r="Y50" s="7"/>
      <c r="Z50" s="7"/>
      <c r="AA50" s="7"/>
    </row>
    <row r="51">
      <c r="D51" s="7"/>
      <c r="E51" s="9"/>
      <c r="F51" s="10"/>
      <c r="G51" s="7"/>
      <c r="H51" s="7"/>
      <c r="I51" s="7"/>
      <c r="J51" s="7"/>
      <c r="K51" s="7"/>
      <c r="L51" s="7"/>
      <c r="M51" s="7"/>
      <c r="N51" s="7"/>
      <c r="O51" s="7"/>
      <c r="P51" s="7"/>
      <c r="Q51" s="7"/>
      <c r="R51" s="7"/>
      <c r="S51" s="7"/>
      <c r="T51" s="7"/>
      <c r="U51" s="7"/>
      <c r="V51" s="7"/>
      <c r="W51" s="7"/>
      <c r="X51" s="7"/>
      <c r="Y51" s="7"/>
      <c r="Z51" s="7"/>
      <c r="AA51" s="7"/>
    </row>
    <row r="52">
      <c r="D52" s="7"/>
      <c r="E52" s="9"/>
      <c r="F52" s="10"/>
      <c r="G52" s="7"/>
      <c r="H52" s="7"/>
      <c r="I52" s="7"/>
      <c r="J52" s="7"/>
      <c r="K52" s="7"/>
      <c r="L52" s="7"/>
      <c r="M52" s="7"/>
      <c r="N52" s="7"/>
      <c r="O52" s="7"/>
      <c r="P52" s="7"/>
      <c r="Q52" s="7"/>
      <c r="R52" s="7"/>
      <c r="S52" s="7"/>
      <c r="T52" s="7"/>
      <c r="U52" s="7"/>
      <c r="V52" s="7"/>
      <c r="W52" s="7"/>
      <c r="X52" s="7"/>
      <c r="Y52" s="7"/>
      <c r="Z52" s="7"/>
      <c r="AA52" s="7"/>
    </row>
    <row r="53">
      <c r="D53" s="7"/>
      <c r="E53" s="9"/>
      <c r="F53" s="10"/>
      <c r="G53" s="7"/>
      <c r="H53" s="7"/>
      <c r="I53" s="7"/>
      <c r="J53" s="7"/>
      <c r="K53" s="7"/>
      <c r="L53" s="7"/>
      <c r="M53" s="7"/>
      <c r="N53" s="7"/>
      <c r="O53" s="7"/>
      <c r="P53" s="7"/>
      <c r="Q53" s="7"/>
      <c r="R53" s="7"/>
      <c r="S53" s="7"/>
      <c r="T53" s="7"/>
      <c r="U53" s="7"/>
      <c r="V53" s="7"/>
      <c r="W53" s="7"/>
      <c r="X53" s="7"/>
      <c r="Y53" s="7"/>
      <c r="Z53" s="7"/>
      <c r="AA53" s="7"/>
    </row>
    <row r="54">
      <c r="D54" s="7"/>
      <c r="E54" s="9"/>
      <c r="F54" s="10"/>
      <c r="G54" s="7"/>
      <c r="H54" s="7"/>
      <c r="I54" s="7"/>
      <c r="J54" s="7"/>
      <c r="K54" s="7"/>
      <c r="L54" s="7"/>
      <c r="M54" s="7"/>
      <c r="N54" s="7"/>
      <c r="O54" s="7"/>
      <c r="P54" s="7"/>
      <c r="Q54" s="7"/>
      <c r="R54" s="7"/>
      <c r="S54" s="7"/>
      <c r="T54" s="7"/>
      <c r="U54" s="7"/>
      <c r="V54" s="7"/>
      <c r="W54" s="7"/>
      <c r="X54" s="7"/>
      <c r="Y54" s="7"/>
      <c r="Z54" s="7"/>
      <c r="AA54" s="7"/>
    </row>
    <row r="55">
      <c r="D55" s="7"/>
      <c r="E55" s="9"/>
      <c r="F55" s="10"/>
      <c r="G55" s="7"/>
      <c r="H55" s="7"/>
      <c r="I55" s="7"/>
      <c r="J55" s="7"/>
      <c r="K55" s="7"/>
      <c r="L55" s="7"/>
      <c r="M55" s="7"/>
      <c r="N55" s="7"/>
      <c r="O55" s="7"/>
      <c r="P55" s="7"/>
      <c r="Q55" s="7"/>
      <c r="R55" s="7"/>
      <c r="S55" s="7"/>
      <c r="T55" s="7"/>
      <c r="U55" s="7"/>
      <c r="V55" s="7"/>
      <c r="W55" s="7"/>
      <c r="X55" s="7"/>
      <c r="Y55" s="7"/>
      <c r="Z55" s="7"/>
      <c r="AA55" s="7"/>
    </row>
    <row r="56">
      <c r="D56" s="7"/>
      <c r="E56" s="9"/>
      <c r="F56" s="10"/>
      <c r="G56" s="7"/>
      <c r="H56" s="7"/>
      <c r="I56" s="7"/>
      <c r="J56" s="7"/>
      <c r="K56" s="7"/>
      <c r="L56" s="7"/>
      <c r="M56" s="7"/>
      <c r="N56" s="7"/>
      <c r="O56" s="7"/>
      <c r="P56" s="7"/>
      <c r="Q56" s="7"/>
      <c r="R56" s="7"/>
      <c r="S56" s="7"/>
      <c r="T56" s="7"/>
      <c r="U56" s="7"/>
      <c r="V56" s="7"/>
      <c r="W56" s="7"/>
      <c r="X56" s="7"/>
      <c r="Y56" s="7"/>
      <c r="Z56" s="7"/>
      <c r="AA56" s="7"/>
    </row>
    <row r="57">
      <c r="D57" s="7"/>
      <c r="E57" s="9"/>
      <c r="F57" s="10"/>
      <c r="G57" s="7"/>
      <c r="H57" s="7"/>
      <c r="I57" s="7"/>
      <c r="J57" s="7"/>
      <c r="K57" s="7"/>
      <c r="L57" s="7"/>
      <c r="M57" s="7"/>
      <c r="N57" s="7"/>
      <c r="O57" s="7"/>
      <c r="P57" s="7"/>
      <c r="Q57" s="7"/>
      <c r="R57" s="7"/>
      <c r="S57" s="7"/>
      <c r="T57" s="7"/>
      <c r="U57" s="7"/>
      <c r="V57" s="7"/>
      <c r="W57" s="7"/>
      <c r="X57" s="7"/>
      <c r="Y57" s="7"/>
      <c r="Z57" s="7"/>
      <c r="AA57" s="7"/>
    </row>
    <row r="58">
      <c r="D58" s="7"/>
      <c r="E58" s="9"/>
      <c r="F58" s="10"/>
      <c r="G58" s="7"/>
      <c r="H58" s="7"/>
      <c r="I58" s="7"/>
      <c r="J58" s="7"/>
      <c r="K58" s="7"/>
      <c r="L58" s="7"/>
      <c r="M58" s="7"/>
      <c r="N58" s="7"/>
      <c r="O58" s="7"/>
      <c r="P58" s="7"/>
      <c r="Q58" s="7"/>
      <c r="R58" s="7"/>
      <c r="S58" s="7"/>
      <c r="T58" s="7"/>
      <c r="U58" s="7"/>
      <c r="V58" s="7"/>
      <c r="W58" s="7"/>
      <c r="X58" s="7"/>
      <c r="Y58" s="7"/>
      <c r="Z58" s="7"/>
      <c r="AA58" s="7"/>
    </row>
    <row r="59" ht="93.0" customHeight="1">
      <c r="D59" s="7"/>
      <c r="E59" s="9"/>
      <c r="F59" s="10"/>
      <c r="G59" s="7"/>
      <c r="H59" s="7"/>
      <c r="I59" s="7"/>
      <c r="J59" s="7"/>
      <c r="K59" s="7"/>
      <c r="L59" s="7"/>
      <c r="M59" s="7"/>
      <c r="N59" s="7"/>
      <c r="O59" s="7"/>
      <c r="P59" s="7"/>
      <c r="Q59" s="7"/>
      <c r="R59" s="7"/>
      <c r="S59" s="7"/>
      <c r="T59" s="7"/>
      <c r="U59" s="7"/>
      <c r="V59" s="7"/>
      <c r="W59" s="7"/>
      <c r="X59" s="7"/>
      <c r="Y59" s="7"/>
      <c r="Z59" s="7"/>
      <c r="AA59" s="7"/>
    </row>
    <row r="60">
      <c r="A60" s="66"/>
      <c r="B60" s="7"/>
      <c r="C60" s="7"/>
      <c r="D60" s="7"/>
      <c r="E60" s="9"/>
      <c r="F60" s="10"/>
      <c r="G60" s="7"/>
      <c r="H60" s="7"/>
      <c r="I60" s="7"/>
      <c r="J60" s="7"/>
      <c r="K60" s="7"/>
      <c r="L60" s="7"/>
      <c r="M60" s="7"/>
      <c r="N60" s="7"/>
      <c r="O60" s="7"/>
      <c r="P60" s="7"/>
      <c r="Q60" s="7"/>
      <c r="R60" s="7"/>
      <c r="S60" s="7"/>
      <c r="T60" s="7"/>
      <c r="U60" s="7"/>
      <c r="V60" s="7"/>
      <c r="W60" s="7"/>
      <c r="X60" s="7"/>
      <c r="Y60" s="7"/>
      <c r="Z60" s="7"/>
      <c r="AA60" s="7"/>
    </row>
    <row r="61">
      <c r="A61" s="7"/>
      <c r="B61" s="7"/>
      <c r="C61" s="7"/>
      <c r="D61" s="7"/>
      <c r="E61" s="9"/>
      <c r="F61" s="10"/>
      <c r="G61" s="7"/>
      <c r="H61" s="7"/>
      <c r="I61" s="7"/>
      <c r="J61" s="7"/>
      <c r="K61" s="7"/>
      <c r="L61" s="7"/>
      <c r="M61" s="7"/>
      <c r="N61" s="7"/>
      <c r="O61" s="7"/>
      <c r="P61" s="7"/>
      <c r="Q61" s="7"/>
      <c r="R61" s="7"/>
      <c r="S61" s="7"/>
      <c r="T61" s="7"/>
      <c r="U61" s="7"/>
      <c r="V61" s="7"/>
      <c r="W61" s="7"/>
      <c r="X61" s="7"/>
      <c r="Y61" s="7"/>
      <c r="Z61" s="7"/>
      <c r="AA61" s="7"/>
    </row>
    <row r="62">
      <c r="A62" s="7"/>
      <c r="B62" s="7"/>
      <c r="C62" s="7"/>
      <c r="D62" s="7"/>
      <c r="E62" s="9"/>
      <c r="F62" s="10"/>
      <c r="G62" s="7"/>
      <c r="H62" s="7"/>
      <c r="I62" s="7"/>
      <c r="J62" s="7"/>
      <c r="K62" s="7"/>
      <c r="L62" s="7"/>
      <c r="M62" s="7"/>
      <c r="N62" s="7"/>
      <c r="O62" s="7"/>
      <c r="P62" s="7"/>
      <c r="Q62" s="7"/>
      <c r="R62" s="7"/>
      <c r="S62" s="7"/>
      <c r="T62" s="7"/>
      <c r="U62" s="7"/>
      <c r="V62" s="7"/>
      <c r="W62" s="7"/>
      <c r="X62" s="7"/>
      <c r="Y62" s="7"/>
      <c r="Z62" s="7"/>
      <c r="AA62" s="7"/>
    </row>
    <row r="63">
      <c r="A63" s="7"/>
      <c r="B63" s="7"/>
      <c r="C63" s="7"/>
      <c r="D63" s="7"/>
      <c r="E63" s="9"/>
      <c r="F63" s="10"/>
      <c r="G63" s="7"/>
      <c r="H63" s="7"/>
      <c r="I63" s="7"/>
      <c r="J63" s="7"/>
      <c r="K63" s="7"/>
      <c r="L63" s="7"/>
      <c r="M63" s="7"/>
      <c r="N63" s="7"/>
      <c r="O63" s="7"/>
      <c r="P63" s="7"/>
      <c r="Q63" s="7"/>
      <c r="R63" s="7"/>
      <c r="S63" s="7"/>
      <c r="T63" s="7"/>
      <c r="U63" s="7"/>
      <c r="V63" s="7"/>
      <c r="W63" s="7"/>
      <c r="X63" s="7"/>
      <c r="Y63" s="7"/>
      <c r="Z63" s="7"/>
      <c r="AA63" s="7"/>
    </row>
    <row r="64">
      <c r="A64" s="7"/>
      <c r="B64" s="7"/>
      <c r="C64" s="7"/>
      <c r="D64" s="7"/>
      <c r="E64" s="9"/>
      <c r="F64" s="10"/>
      <c r="G64" s="7"/>
      <c r="H64" s="7"/>
      <c r="I64" s="7"/>
      <c r="J64" s="7"/>
      <c r="K64" s="7"/>
      <c r="L64" s="7"/>
      <c r="M64" s="7"/>
      <c r="N64" s="7"/>
      <c r="O64" s="7"/>
      <c r="P64" s="7"/>
      <c r="Q64" s="7"/>
      <c r="R64" s="7"/>
      <c r="S64" s="7"/>
      <c r="T64" s="7"/>
      <c r="U64" s="7"/>
      <c r="V64" s="7"/>
      <c r="W64" s="7"/>
      <c r="X64" s="7"/>
      <c r="Y64" s="7"/>
      <c r="Z64" s="7"/>
      <c r="AA64" s="7"/>
    </row>
    <row r="65">
      <c r="A65" s="7"/>
      <c r="B65" s="7"/>
      <c r="C65" s="7"/>
      <c r="D65" s="7"/>
      <c r="E65" s="9"/>
      <c r="F65" s="10"/>
      <c r="G65" s="7"/>
      <c r="H65" s="7"/>
      <c r="I65" s="7"/>
      <c r="J65" s="7"/>
      <c r="K65" s="7"/>
      <c r="L65" s="7"/>
      <c r="M65" s="7"/>
      <c r="N65" s="7"/>
      <c r="O65" s="7"/>
      <c r="P65" s="7"/>
      <c r="Q65" s="7"/>
      <c r="R65" s="7"/>
      <c r="S65" s="7"/>
      <c r="T65" s="7"/>
      <c r="U65" s="7"/>
      <c r="V65" s="7"/>
      <c r="W65" s="7"/>
      <c r="X65" s="7"/>
      <c r="Y65" s="7"/>
      <c r="Z65" s="7"/>
      <c r="AA65" s="7"/>
    </row>
    <row r="66">
      <c r="A66" s="7"/>
      <c r="B66" s="7"/>
      <c r="C66" s="7"/>
      <c r="D66" s="7"/>
      <c r="E66" s="9"/>
      <c r="F66" s="10"/>
      <c r="G66" s="7"/>
      <c r="H66" s="7"/>
      <c r="I66" s="7"/>
      <c r="J66" s="7"/>
      <c r="K66" s="7"/>
      <c r="L66" s="7"/>
      <c r="M66" s="7"/>
      <c r="N66" s="7"/>
      <c r="O66" s="7"/>
      <c r="P66" s="7"/>
      <c r="Q66" s="7"/>
      <c r="R66" s="7"/>
      <c r="S66" s="7"/>
      <c r="T66" s="7"/>
      <c r="U66" s="7"/>
      <c r="V66" s="7"/>
      <c r="W66" s="7"/>
      <c r="X66" s="7"/>
      <c r="Y66" s="7"/>
      <c r="Z66" s="7"/>
      <c r="AA66" s="7"/>
    </row>
    <row r="67">
      <c r="A67" s="7"/>
      <c r="B67" s="7"/>
      <c r="C67" s="7"/>
      <c r="D67" s="7"/>
      <c r="E67" s="9"/>
      <c r="F67" s="10"/>
      <c r="G67" s="7"/>
      <c r="H67" s="7"/>
      <c r="I67" s="7"/>
      <c r="J67" s="7"/>
      <c r="K67" s="7"/>
      <c r="L67" s="7"/>
      <c r="M67" s="7"/>
      <c r="N67" s="7"/>
      <c r="O67" s="7"/>
      <c r="P67" s="7"/>
      <c r="Q67" s="7"/>
      <c r="R67" s="7"/>
      <c r="S67" s="7"/>
      <c r="T67" s="7"/>
      <c r="U67" s="7"/>
      <c r="V67" s="7"/>
      <c r="W67" s="7"/>
      <c r="X67" s="7"/>
      <c r="Y67" s="7"/>
      <c r="Z67" s="7"/>
      <c r="AA67" s="7"/>
    </row>
    <row r="68">
      <c r="A68" s="7"/>
      <c r="B68" s="7"/>
      <c r="C68" s="7"/>
      <c r="D68" s="7"/>
      <c r="E68" s="9"/>
      <c r="F68" s="10"/>
      <c r="G68" s="7"/>
      <c r="H68" s="7"/>
      <c r="I68" s="7"/>
      <c r="J68" s="7"/>
      <c r="K68" s="7"/>
      <c r="L68" s="7"/>
      <c r="M68" s="7"/>
      <c r="N68" s="7"/>
      <c r="O68" s="7"/>
      <c r="P68" s="7"/>
      <c r="Q68" s="7"/>
      <c r="R68" s="7"/>
      <c r="S68" s="7"/>
      <c r="T68" s="7"/>
      <c r="U68" s="7"/>
      <c r="V68" s="7"/>
      <c r="W68" s="7"/>
      <c r="X68" s="7"/>
      <c r="Y68" s="7"/>
      <c r="Z68" s="7"/>
      <c r="AA68" s="7"/>
    </row>
    <row r="69">
      <c r="A69" s="7"/>
      <c r="B69" s="7"/>
      <c r="C69" s="7"/>
      <c r="D69" s="7"/>
      <c r="E69" s="9"/>
      <c r="F69" s="10"/>
      <c r="G69" s="7"/>
      <c r="H69" s="7"/>
      <c r="I69" s="7"/>
      <c r="J69" s="7"/>
      <c r="K69" s="7"/>
      <c r="L69" s="7"/>
      <c r="M69" s="7"/>
      <c r="N69" s="7"/>
      <c r="O69" s="7"/>
      <c r="P69" s="7"/>
      <c r="Q69" s="7"/>
      <c r="R69" s="7"/>
      <c r="S69" s="7"/>
      <c r="T69" s="7"/>
      <c r="U69" s="7"/>
      <c r="V69" s="7"/>
      <c r="W69" s="7"/>
      <c r="X69" s="7"/>
      <c r="Y69" s="7"/>
      <c r="Z69" s="7"/>
      <c r="AA69" s="7"/>
    </row>
    <row r="70">
      <c r="A70" s="7"/>
      <c r="B70" s="7"/>
      <c r="C70" s="7"/>
      <c r="D70" s="7"/>
      <c r="E70" s="9"/>
      <c r="F70" s="10"/>
      <c r="G70" s="7"/>
      <c r="H70" s="7"/>
      <c r="I70" s="7"/>
      <c r="J70" s="7"/>
      <c r="K70" s="7"/>
      <c r="L70" s="7"/>
      <c r="M70" s="7"/>
      <c r="N70" s="7"/>
      <c r="O70" s="7"/>
      <c r="P70" s="7"/>
      <c r="Q70" s="7"/>
      <c r="R70" s="7"/>
      <c r="S70" s="7"/>
      <c r="T70" s="7"/>
      <c r="U70" s="7"/>
      <c r="V70" s="7"/>
      <c r="W70" s="7"/>
      <c r="X70" s="7"/>
      <c r="Y70" s="7"/>
      <c r="Z70" s="7"/>
      <c r="AA70" s="7"/>
    </row>
    <row r="71">
      <c r="A71" s="7"/>
      <c r="B71" s="7"/>
      <c r="C71" s="7"/>
      <c r="D71" s="7"/>
      <c r="E71" s="9"/>
      <c r="F71" s="10"/>
      <c r="G71" s="7"/>
      <c r="H71" s="7"/>
      <c r="I71" s="7"/>
      <c r="J71" s="7"/>
      <c r="K71" s="7"/>
      <c r="L71" s="7"/>
      <c r="M71" s="7"/>
      <c r="N71" s="7"/>
      <c r="O71" s="7"/>
      <c r="P71" s="7"/>
      <c r="Q71" s="7"/>
      <c r="R71" s="7"/>
      <c r="S71" s="7"/>
      <c r="T71" s="7"/>
      <c r="U71" s="7"/>
      <c r="V71" s="7"/>
      <c r="W71" s="7"/>
      <c r="X71" s="7"/>
      <c r="Y71" s="7"/>
      <c r="Z71" s="7"/>
      <c r="AA71" s="7"/>
    </row>
    <row r="72">
      <c r="A72" s="7"/>
      <c r="B72" s="7"/>
      <c r="C72" s="7"/>
      <c r="D72" s="7"/>
      <c r="E72" s="9"/>
      <c r="F72" s="10"/>
      <c r="G72" s="7"/>
      <c r="H72" s="7"/>
      <c r="I72" s="7"/>
      <c r="J72" s="7"/>
      <c r="K72" s="7"/>
      <c r="L72" s="7"/>
      <c r="M72" s="7"/>
      <c r="N72" s="7"/>
      <c r="O72" s="7"/>
      <c r="P72" s="7"/>
      <c r="Q72" s="7"/>
      <c r="R72" s="7"/>
      <c r="S72" s="7"/>
      <c r="T72" s="7"/>
      <c r="U72" s="7"/>
      <c r="V72" s="7"/>
      <c r="W72" s="7"/>
      <c r="X72" s="7"/>
      <c r="Y72" s="7"/>
      <c r="Z72" s="7"/>
      <c r="AA72" s="7"/>
    </row>
    <row r="73">
      <c r="A73" s="7"/>
      <c r="B73" s="7"/>
      <c r="C73" s="7"/>
      <c r="D73" s="7"/>
      <c r="E73" s="9"/>
      <c r="F73" s="10"/>
      <c r="G73" s="7"/>
      <c r="H73" s="7"/>
      <c r="I73" s="7"/>
      <c r="J73" s="7"/>
      <c r="K73" s="7"/>
      <c r="L73" s="7"/>
      <c r="M73" s="7"/>
      <c r="N73" s="7"/>
      <c r="O73" s="7"/>
      <c r="P73" s="7"/>
      <c r="Q73" s="7"/>
      <c r="R73" s="7"/>
      <c r="S73" s="7"/>
      <c r="T73" s="7"/>
      <c r="U73" s="7"/>
      <c r="V73" s="7"/>
      <c r="W73" s="7"/>
      <c r="X73" s="7"/>
      <c r="Y73" s="7"/>
      <c r="Z73" s="7"/>
      <c r="AA73" s="7"/>
    </row>
    <row r="74">
      <c r="A74" s="7"/>
      <c r="B74" s="7"/>
      <c r="C74" s="7"/>
      <c r="D74" s="7"/>
      <c r="E74" s="9"/>
      <c r="F74" s="10"/>
      <c r="G74" s="7"/>
      <c r="H74" s="7"/>
      <c r="I74" s="7"/>
      <c r="J74" s="7"/>
      <c r="K74" s="7"/>
      <c r="L74" s="7"/>
      <c r="M74" s="7"/>
      <c r="N74" s="7"/>
      <c r="O74" s="7"/>
      <c r="P74" s="7"/>
      <c r="Q74" s="7"/>
      <c r="R74" s="7"/>
      <c r="S74" s="7"/>
      <c r="T74" s="7"/>
      <c r="U74" s="7"/>
      <c r="V74" s="7"/>
      <c r="W74" s="7"/>
      <c r="X74" s="7"/>
      <c r="Y74" s="7"/>
      <c r="Z74" s="7"/>
      <c r="AA74" s="7"/>
    </row>
    <row r="75">
      <c r="A75" s="7"/>
      <c r="B75" s="7"/>
      <c r="C75" s="7"/>
      <c r="D75" s="7"/>
      <c r="E75" s="9"/>
      <c r="F75" s="10"/>
      <c r="G75" s="7"/>
      <c r="H75" s="7"/>
      <c r="I75" s="7"/>
      <c r="J75" s="7"/>
      <c r="K75" s="7"/>
      <c r="L75" s="7"/>
      <c r="M75" s="7"/>
      <c r="N75" s="7"/>
      <c r="O75" s="7"/>
      <c r="P75" s="7"/>
      <c r="Q75" s="7"/>
      <c r="R75" s="7"/>
      <c r="S75" s="7"/>
      <c r="T75" s="7"/>
      <c r="U75" s="7"/>
      <c r="V75" s="7"/>
      <c r="W75" s="7"/>
      <c r="X75" s="7"/>
      <c r="Y75" s="7"/>
      <c r="Z75" s="7"/>
      <c r="AA75" s="7"/>
    </row>
    <row r="76">
      <c r="A76" s="7"/>
      <c r="B76" s="7"/>
      <c r="C76" s="7"/>
      <c r="D76" s="7"/>
      <c r="E76" s="9"/>
      <c r="F76" s="10"/>
      <c r="G76" s="7"/>
      <c r="H76" s="7"/>
      <c r="I76" s="7"/>
      <c r="J76" s="7"/>
      <c r="K76" s="7"/>
      <c r="L76" s="7"/>
      <c r="M76" s="7"/>
      <c r="N76" s="7"/>
      <c r="O76" s="7"/>
      <c r="P76" s="7"/>
      <c r="Q76" s="7"/>
      <c r="R76" s="7"/>
      <c r="S76" s="7"/>
      <c r="T76" s="7"/>
      <c r="U76" s="7"/>
      <c r="V76" s="7"/>
      <c r="W76" s="7"/>
      <c r="X76" s="7"/>
      <c r="Y76" s="7"/>
      <c r="Z76" s="7"/>
      <c r="AA76" s="7"/>
    </row>
    <row r="77">
      <c r="A77" s="7"/>
      <c r="B77" s="7"/>
      <c r="C77" s="7"/>
      <c r="D77" s="7"/>
      <c r="E77" s="9"/>
      <c r="F77" s="10"/>
      <c r="G77" s="7"/>
      <c r="H77" s="7"/>
      <c r="I77" s="7"/>
      <c r="J77" s="7"/>
      <c r="K77" s="7"/>
      <c r="L77" s="7"/>
      <c r="M77" s="7"/>
      <c r="N77" s="7"/>
      <c r="O77" s="7"/>
      <c r="P77" s="7"/>
      <c r="Q77" s="7"/>
      <c r="R77" s="7"/>
      <c r="S77" s="7"/>
      <c r="T77" s="7"/>
      <c r="U77" s="7"/>
      <c r="V77" s="7"/>
      <c r="W77" s="7"/>
      <c r="X77" s="7"/>
      <c r="Y77" s="7"/>
      <c r="Z77" s="7"/>
      <c r="AA77" s="7"/>
    </row>
    <row r="78">
      <c r="A78" s="7"/>
      <c r="B78" s="7"/>
      <c r="C78" s="7"/>
      <c r="D78" s="7"/>
      <c r="E78" s="9"/>
      <c r="F78" s="10"/>
      <c r="G78" s="7"/>
      <c r="H78" s="7"/>
      <c r="I78" s="7"/>
      <c r="J78" s="7"/>
      <c r="K78" s="7"/>
      <c r="L78" s="7"/>
      <c r="M78" s="7"/>
      <c r="N78" s="7"/>
      <c r="O78" s="7"/>
      <c r="P78" s="7"/>
      <c r="Q78" s="7"/>
      <c r="R78" s="7"/>
      <c r="S78" s="7"/>
      <c r="T78" s="7"/>
      <c r="U78" s="7"/>
      <c r="V78" s="7"/>
      <c r="W78" s="7"/>
      <c r="X78" s="7"/>
      <c r="Y78" s="7"/>
      <c r="Z78" s="7"/>
      <c r="AA78" s="7"/>
    </row>
    <row r="79">
      <c r="A79" s="7"/>
      <c r="B79" s="7"/>
      <c r="C79" s="7"/>
      <c r="D79" s="7"/>
      <c r="E79" s="9"/>
      <c r="F79" s="10"/>
      <c r="G79" s="7"/>
      <c r="H79" s="7"/>
      <c r="I79" s="7"/>
      <c r="J79" s="7"/>
      <c r="K79" s="7"/>
      <c r="L79" s="7"/>
      <c r="M79" s="7"/>
      <c r="N79" s="7"/>
      <c r="O79" s="7"/>
      <c r="P79" s="7"/>
      <c r="Q79" s="7"/>
      <c r="R79" s="7"/>
      <c r="S79" s="7"/>
      <c r="T79" s="7"/>
      <c r="U79" s="7"/>
      <c r="V79" s="7"/>
      <c r="W79" s="7"/>
      <c r="X79" s="7"/>
      <c r="Y79" s="7"/>
      <c r="Z79" s="7"/>
      <c r="AA79" s="7"/>
    </row>
    <row r="80">
      <c r="A80" s="7"/>
      <c r="B80" s="7"/>
      <c r="C80" s="7"/>
      <c r="D80" s="7"/>
      <c r="E80" s="9"/>
      <c r="F80" s="10"/>
      <c r="G80" s="7"/>
      <c r="H80" s="7"/>
      <c r="I80" s="7"/>
      <c r="J80" s="7"/>
      <c r="K80" s="7"/>
      <c r="L80" s="7"/>
      <c r="M80" s="7"/>
      <c r="N80" s="7"/>
      <c r="O80" s="7"/>
      <c r="P80" s="7"/>
      <c r="Q80" s="7"/>
      <c r="R80" s="7"/>
      <c r="S80" s="7"/>
      <c r="T80" s="7"/>
      <c r="U80" s="7"/>
      <c r="V80" s="7"/>
      <c r="W80" s="7"/>
      <c r="X80" s="7"/>
      <c r="Y80" s="7"/>
      <c r="Z80" s="7"/>
      <c r="AA80" s="7"/>
    </row>
    <row r="81">
      <c r="A81" s="7"/>
      <c r="B81" s="7"/>
      <c r="C81" s="7"/>
      <c r="D81" s="7"/>
      <c r="E81" s="9"/>
      <c r="F81" s="10"/>
      <c r="G81" s="7"/>
      <c r="H81" s="7"/>
      <c r="I81" s="7"/>
      <c r="J81" s="7"/>
      <c r="K81" s="7"/>
      <c r="L81" s="7"/>
      <c r="M81" s="7"/>
      <c r="N81" s="7"/>
      <c r="O81" s="7"/>
      <c r="P81" s="7"/>
      <c r="Q81" s="7"/>
      <c r="R81" s="7"/>
      <c r="S81" s="7"/>
      <c r="T81" s="7"/>
      <c r="U81" s="7"/>
      <c r="V81" s="7"/>
      <c r="W81" s="7"/>
      <c r="X81" s="7"/>
      <c r="Y81" s="7"/>
      <c r="Z81" s="7"/>
      <c r="AA81" s="7"/>
    </row>
    <row r="82">
      <c r="A82" s="7"/>
      <c r="B82" s="7"/>
      <c r="C82" s="7"/>
      <c r="D82" s="7"/>
      <c r="E82" s="9"/>
      <c r="F82" s="10"/>
      <c r="G82" s="7"/>
      <c r="H82" s="7"/>
      <c r="I82" s="7"/>
      <c r="J82" s="7"/>
      <c r="K82" s="7"/>
      <c r="L82" s="7"/>
      <c r="M82" s="7"/>
      <c r="N82" s="7"/>
      <c r="O82" s="7"/>
      <c r="P82" s="7"/>
      <c r="Q82" s="7"/>
      <c r="R82" s="7"/>
      <c r="S82" s="7"/>
      <c r="T82" s="7"/>
      <c r="U82" s="7"/>
      <c r="V82" s="7"/>
      <c r="W82" s="7"/>
      <c r="X82" s="7"/>
      <c r="Y82" s="7"/>
      <c r="Z82" s="7"/>
      <c r="AA82" s="7"/>
    </row>
    <row r="83">
      <c r="A83" s="7"/>
      <c r="B83" s="7"/>
      <c r="C83" s="7"/>
      <c r="D83" s="7"/>
      <c r="E83" s="9"/>
      <c r="F83" s="10"/>
      <c r="G83" s="7"/>
      <c r="H83" s="7"/>
      <c r="I83" s="7"/>
      <c r="J83" s="7"/>
      <c r="K83" s="7"/>
      <c r="L83" s="7"/>
      <c r="M83" s="7"/>
      <c r="N83" s="7"/>
      <c r="O83" s="7"/>
      <c r="P83" s="7"/>
      <c r="Q83" s="7"/>
      <c r="R83" s="7"/>
      <c r="S83" s="7"/>
      <c r="T83" s="7"/>
      <c r="U83" s="7"/>
      <c r="V83" s="7"/>
      <c r="W83" s="7"/>
      <c r="X83" s="7"/>
      <c r="Y83" s="7"/>
      <c r="Z83" s="7"/>
      <c r="AA83" s="7"/>
    </row>
    <row r="84">
      <c r="A84" s="7"/>
      <c r="B84" s="7"/>
      <c r="C84" s="7"/>
      <c r="D84" s="7"/>
      <c r="E84" s="9"/>
      <c r="F84" s="10"/>
      <c r="G84" s="7"/>
      <c r="H84" s="7"/>
      <c r="I84" s="7"/>
      <c r="J84" s="7"/>
      <c r="K84" s="7"/>
      <c r="L84" s="7"/>
      <c r="M84" s="7"/>
      <c r="N84" s="7"/>
      <c r="O84" s="7"/>
      <c r="P84" s="7"/>
      <c r="Q84" s="7"/>
      <c r="R84" s="7"/>
      <c r="S84" s="7"/>
      <c r="T84" s="7"/>
      <c r="U84" s="7"/>
      <c r="V84" s="7"/>
      <c r="W84" s="7"/>
      <c r="X84" s="7"/>
      <c r="Y84" s="7"/>
      <c r="Z84" s="7"/>
      <c r="AA84" s="7"/>
    </row>
    <row r="85">
      <c r="A85" s="7"/>
      <c r="B85" s="7"/>
      <c r="C85" s="7"/>
      <c r="D85" s="7"/>
      <c r="E85" s="9"/>
      <c r="F85" s="10"/>
      <c r="G85" s="7"/>
      <c r="H85" s="7"/>
      <c r="I85" s="7"/>
      <c r="J85" s="7"/>
      <c r="K85" s="7"/>
      <c r="L85" s="7"/>
      <c r="M85" s="7"/>
      <c r="N85" s="7"/>
      <c r="O85" s="7"/>
      <c r="P85" s="7"/>
      <c r="Q85" s="7"/>
      <c r="R85" s="7"/>
      <c r="S85" s="7"/>
      <c r="T85" s="7"/>
      <c r="U85" s="7"/>
      <c r="V85" s="7"/>
      <c r="W85" s="7"/>
      <c r="X85" s="7"/>
      <c r="Y85" s="7"/>
      <c r="Z85" s="7"/>
      <c r="AA85" s="7"/>
    </row>
    <row r="86">
      <c r="A86" s="7"/>
      <c r="B86" s="7"/>
      <c r="C86" s="7"/>
      <c r="D86" s="7"/>
      <c r="E86" s="9"/>
      <c r="F86" s="10"/>
      <c r="G86" s="7"/>
      <c r="H86" s="7"/>
      <c r="I86" s="7"/>
      <c r="J86" s="7"/>
      <c r="K86" s="7"/>
      <c r="L86" s="7"/>
      <c r="M86" s="7"/>
      <c r="N86" s="7"/>
      <c r="O86" s="7"/>
      <c r="P86" s="7"/>
      <c r="Q86" s="7"/>
      <c r="R86" s="7"/>
      <c r="S86" s="7"/>
      <c r="T86" s="7"/>
      <c r="U86" s="7"/>
      <c r="V86" s="7"/>
      <c r="W86" s="7"/>
      <c r="X86" s="7"/>
      <c r="Y86" s="7"/>
      <c r="Z86" s="7"/>
      <c r="AA86" s="7"/>
    </row>
    <row r="87">
      <c r="A87" s="7"/>
      <c r="B87" s="7"/>
      <c r="C87" s="7"/>
      <c r="D87" s="7"/>
      <c r="E87" s="9"/>
      <c r="F87" s="10"/>
      <c r="G87" s="7"/>
      <c r="H87" s="7"/>
      <c r="I87" s="7"/>
      <c r="J87" s="7"/>
      <c r="K87" s="7"/>
      <c r="L87" s="7"/>
      <c r="M87" s="7"/>
      <c r="N87" s="7"/>
      <c r="O87" s="7"/>
      <c r="P87" s="7"/>
      <c r="Q87" s="7"/>
      <c r="R87" s="7"/>
      <c r="S87" s="7"/>
      <c r="T87" s="7"/>
      <c r="U87" s="7"/>
      <c r="V87" s="7"/>
      <c r="W87" s="7"/>
      <c r="X87" s="7"/>
      <c r="Y87" s="7"/>
      <c r="Z87" s="7"/>
      <c r="AA87" s="7"/>
    </row>
    <row r="88">
      <c r="A88" s="7"/>
      <c r="B88" s="7"/>
      <c r="C88" s="7"/>
      <c r="D88" s="7"/>
      <c r="E88" s="9"/>
      <c r="F88" s="10"/>
      <c r="G88" s="7"/>
      <c r="H88" s="7"/>
      <c r="I88" s="7"/>
      <c r="J88" s="7"/>
      <c r="K88" s="7"/>
      <c r="L88" s="7"/>
      <c r="M88" s="7"/>
      <c r="N88" s="7"/>
      <c r="O88" s="7"/>
      <c r="P88" s="7"/>
      <c r="Q88" s="7"/>
      <c r="R88" s="7"/>
      <c r="S88" s="7"/>
      <c r="T88" s="7"/>
      <c r="U88" s="7"/>
      <c r="V88" s="7"/>
      <c r="W88" s="7"/>
      <c r="X88" s="7"/>
      <c r="Y88" s="7"/>
      <c r="Z88" s="7"/>
      <c r="AA88" s="7"/>
    </row>
    <row r="89">
      <c r="A89" s="7"/>
      <c r="B89" s="7"/>
      <c r="C89" s="7"/>
      <c r="D89" s="7"/>
      <c r="E89" s="9"/>
      <c r="F89" s="10"/>
      <c r="G89" s="7"/>
      <c r="H89" s="7"/>
      <c r="I89" s="7"/>
      <c r="J89" s="7"/>
      <c r="K89" s="7"/>
      <c r="L89" s="7"/>
      <c r="M89" s="7"/>
      <c r="N89" s="7"/>
      <c r="O89" s="7"/>
      <c r="P89" s="7"/>
      <c r="Q89" s="7"/>
      <c r="R89" s="7"/>
      <c r="S89" s="7"/>
      <c r="T89" s="7"/>
      <c r="U89" s="7"/>
      <c r="V89" s="7"/>
      <c r="W89" s="7"/>
      <c r="X89" s="7"/>
      <c r="Y89" s="7"/>
      <c r="Z89" s="7"/>
      <c r="AA89" s="7"/>
    </row>
    <row r="90">
      <c r="A90" s="7"/>
      <c r="B90" s="7"/>
      <c r="C90" s="7"/>
      <c r="D90" s="7"/>
      <c r="E90" s="9"/>
      <c r="F90" s="10"/>
      <c r="G90" s="7"/>
      <c r="H90" s="7"/>
      <c r="I90" s="7"/>
      <c r="J90" s="7"/>
      <c r="K90" s="7"/>
      <c r="L90" s="7"/>
      <c r="M90" s="7"/>
      <c r="N90" s="7"/>
      <c r="O90" s="7"/>
      <c r="P90" s="7"/>
      <c r="Q90" s="7"/>
      <c r="R90" s="7"/>
      <c r="S90" s="7"/>
      <c r="T90" s="7"/>
      <c r="U90" s="7"/>
      <c r="V90" s="7"/>
      <c r="W90" s="7"/>
      <c r="X90" s="7"/>
      <c r="Y90" s="7"/>
      <c r="Z90" s="7"/>
      <c r="AA90" s="7"/>
    </row>
    <row r="91">
      <c r="A91" s="7"/>
      <c r="B91" s="7"/>
      <c r="C91" s="7"/>
      <c r="D91" s="7"/>
      <c r="E91" s="9"/>
      <c r="F91" s="10"/>
      <c r="G91" s="7"/>
      <c r="H91" s="7"/>
      <c r="I91" s="7"/>
      <c r="J91" s="7"/>
      <c r="K91" s="7"/>
      <c r="L91" s="7"/>
      <c r="M91" s="7"/>
      <c r="N91" s="7"/>
      <c r="O91" s="7"/>
      <c r="P91" s="7"/>
      <c r="Q91" s="7"/>
      <c r="R91" s="7"/>
      <c r="S91" s="7"/>
      <c r="T91" s="7"/>
      <c r="U91" s="7"/>
      <c r="V91" s="7"/>
      <c r="W91" s="7"/>
      <c r="X91" s="7"/>
      <c r="Y91" s="7"/>
      <c r="Z91" s="7"/>
      <c r="AA91" s="7"/>
    </row>
    <row r="92">
      <c r="A92" s="7"/>
      <c r="B92" s="7"/>
      <c r="C92" s="7"/>
      <c r="D92" s="7"/>
      <c r="E92" s="9"/>
      <c r="F92" s="10"/>
      <c r="G92" s="7"/>
      <c r="H92" s="7"/>
      <c r="I92" s="7"/>
      <c r="J92" s="7"/>
      <c r="K92" s="7"/>
      <c r="L92" s="7"/>
      <c r="M92" s="7"/>
      <c r="N92" s="7"/>
      <c r="O92" s="7"/>
      <c r="P92" s="7"/>
      <c r="Q92" s="7"/>
      <c r="R92" s="7"/>
      <c r="S92" s="7"/>
      <c r="T92" s="7"/>
      <c r="U92" s="7"/>
      <c r="V92" s="7"/>
      <c r="W92" s="7"/>
      <c r="X92" s="7"/>
      <c r="Y92" s="7"/>
      <c r="Z92" s="7"/>
      <c r="AA92" s="7"/>
    </row>
    <row r="93">
      <c r="A93" s="7"/>
      <c r="B93" s="7"/>
      <c r="C93" s="7"/>
      <c r="D93" s="7"/>
      <c r="E93" s="9"/>
      <c r="F93" s="10"/>
      <c r="G93" s="7"/>
      <c r="H93" s="7"/>
      <c r="I93" s="7"/>
      <c r="J93" s="7"/>
      <c r="K93" s="7"/>
      <c r="L93" s="7"/>
      <c r="M93" s="7"/>
      <c r="N93" s="7"/>
      <c r="O93" s="7"/>
      <c r="P93" s="7"/>
      <c r="Q93" s="7"/>
      <c r="R93" s="7"/>
      <c r="S93" s="7"/>
      <c r="T93" s="7"/>
      <c r="U93" s="7"/>
      <c r="V93" s="7"/>
      <c r="W93" s="7"/>
      <c r="X93" s="7"/>
      <c r="Y93" s="7"/>
      <c r="Z93" s="7"/>
      <c r="AA93" s="7"/>
    </row>
    <row r="94">
      <c r="A94" s="7"/>
      <c r="B94" s="7"/>
      <c r="C94" s="7"/>
      <c r="D94" s="7"/>
      <c r="E94" s="9"/>
      <c r="F94" s="10"/>
      <c r="G94" s="7"/>
      <c r="H94" s="7"/>
      <c r="I94" s="7"/>
      <c r="J94" s="7"/>
      <c r="K94" s="7"/>
      <c r="L94" s="7"/>
      <c r="M94" s="7"/>
      <c r="N94" s="7"/>
      <c r="O94" s="7"/>
      <c r="P94" s="7"/>
      <c r="Q94" s="7"/>
      <c r="R94" s="7"/>
      <c r="S94" s="7"/>
      <c r="T94" s="7"/>
      <c r="U94" s="7"/>
      <c r="V94" s="7"/>
      <c r="W94" s="7"/>
      <c r="X94" s="7"/>
      <c r="Y94" s="7"/>
      <c r="Z94" s="7"/>
      <c r="AA94" s="7"/>
    </row>
    <row r="95">
      <c r="A95" s="7"/>
      <c r="B95" s="7"/>
      <c r="C95" s="7"/>
      <c r="D95" s="7"/>
      <c r="E95" s="9"/>
      <c r="F95" s="10"/>
      <c r="G95" s="7"/>
      <c r="H95" s="7"/>
      <c r="I95" s="7"/>
      <c r="J95" s="7"/>
      <c r="K95" s="7"/>
      <c r="L95" s="7"/>
      <c r="M95" s="7"/>
      <c r="N95" s="7"/>
      <c r="O95" s="7"/>
      <c r="P95" s="7"/>
      <c r="Q95" s="7"/>
      <c r="R95" s="7"/>
      <c r="S95" s="7"/>
      <c r="T95" s="7"/>
      <c r="U95" s="7"/>
      <c r="V95" s="7"/>
      <c r="W95" s="7"/>
      <c r="X95" s="7"/>
      <c r="Y95" s="7"/>
      <c r="Z95" s="7"/>
      <c r="AA95" s="7"/>
    </row>
    <row r="96">
      <c r="A96" s="7"/>
      <c r="B96" s="7"/>
      <c r="C96" s="7"/>
      <c r="D96" s="7"/>
      <c r="E96" s="9"/>
      <c r="F96" s="10"/>
      <c r="G96" s="7"/>
      <c r="H96" s="7"/>
      <c r="I96" s="7"/>
      <c r="J96" s="7"/>
      <c r="K96" s="7"/>
      <c r="L96" s="7"/>
      <c r="M96" s="7"/>
      <c r="N96" s="7"/>
      <c r="O96" s="7"/>
      <c r="P96" s="7"/>
      <c r="Q96" s="7"/>
      <c r="R96" s="7"/>
      <c r="S96" s="7"/>
      <c r="T96" s="7"/>
      <c r="U96" s="7"/>
      <c r="V96" s="7"/>
      <c r="W96" s="7"/>
      <c r="X96" s="7"/>
      <c r="Y96" s="7"/>
      <c r="Z96" s="7"/>
      <c r="AA96" s="7"/>
    </row>
    <row r="97">
      <c r="A97" s="7"/>
      <c r="B97" s="7"/>
      <c r="C97" s="7"/>
      <c r="D97" s="7"/>
      <c r="E97" s="9"/>
      <c r="F97" s="10"/>
      <c r="G97" s="7"/>
      <c r="H97" s="7"/>
      <c r="I97" s="7"/>
      <c r="J97" s="7"/>
      <c r="K97" s="7"/>
      <c r="L97" s="7"/>
      <c r="M97" s="7"/>
      <c r="N97" s="7"/>
      <c r="O97" s="7"/>
      <c r="P97" s="7"/>
      <c r="Q97" s="7"/>
      <c r="R97" s="7"/>
      <c r="S97" s="7"/>
      <c r="T97" s="7"/>
      <c r="U97" s="7"/>
      <c r="V97" s="7"/>
      <c r="W97" s="7"/>
      <c r="X97" s="7"/>
      <c r="Y97" s="7"/>
      <c r="Z97" s="7"/>
      <c r="AA97" s="7"/>
    </row>
    <row r="98">
      <c r="A98" s="7"/>
      <c r="B98" s="7"/>
      <c r="C98" s="7"/>
      <c r="D98" s="7"/>
      <c r="E98" s="9"/>
      <c r="F98" s="10"/>
      <c r="G98" s="7"/>
      <c r="H98" s="7"/>
      <c r="I98" s="7"/>
      <c r="J98" s="7"/>
      <c r="K98" s="7"/>
      <c r="L98" s="7"/>
      <c r="M98" s="7"/>
      <c r="N98" s="7"/>
      <c r="O98" s="7"/>
      <c r="P98" s="7"/>
      <c r="Q98" s="7"/>
      <c r="R98" s="7"/>
      <c r="S98" s="7"/>
      <c r="T98" s="7"/>
      <c r="U98" s="7"/>
      <c r="V98" s="7"/>
      <c r="W98" s="7"/>
      <c r="X98" s="7"/>
      <c r="Y98" s="7"/>
      <c r="Z98" s="7"/>
      <c r="AA98" s="7"/>
    </row>
    <row r="99">
      <c r="A99" s="7"/>
      <c r="B99" s="7"/>
      <c r="C99" s="7"/>
      <c r="D99" s="7"/>
      <c r="E99" s="9"/>
      <c r="F99" s="10"/>
      <c r="G99" s="7"/>
      <c r="H99" s="7"/>
      <c r="I99" s="7"/>
      <c r="J99" s="7"/>
      <c r="K99" s="7"/>
      <c r="L99" s="7"/>
      <c r="M99" s="7"/>
      <c r="N99" s="7"/>
      <c r="O99" s="7"/>
      <c r="P99" s="7"/>
      <c r="Q99" s="7"/>
      <c r="R99" s="7"/>
      <c r="S99" s="7"/>
      <c r="T99" s="7"/>
      <c r="U99" s="7"/>
      <c r="V99" s="7"/>
      <c r="W99" s="7"/>
      <c r="X99" s="7"/>
      <c r="Y99" s="7"/>
      <c r="Z99" s="7"/>
      <c r="AA99" s="7"/>
    </row>
    <row r="100">
      <c r="A100" s="7"/>
      <c r="B100" s="7"/>
      <c r="C100" s="7"/>
      <c r="D100" s="7"/>
      <c r="E100" s="9"/>
      <c r="F100" s="10"/>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9"/>
      <c r="F101" s="10"/>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9"/>
      <c r="F102" s="10"/>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9"/>
      <c r="F103" s="10"/>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9"/>
      <c r="F104" s="10"/>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9"/>
      <c r="F105" s="10"/>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9"/>
      <c r="F106" s="10"/>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9"/>
      <c r="F107" s="10"/>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9"/>
      <c r="F108" s="10"/>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9"/>
      <c r="F109" s="10"/>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9"/>
      <c r="F110" s="10"/>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9"/>
      <c r="F111" s="10"/>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9"/>
      <c r="F112" s="10"/>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9"/>
      <c r="F113" s="10"/>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9"/>
      <c r="F114" s="10"/>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9"/>
      <c r="F115" s="10"/>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9"/>
      <c r="F116" s="10"/>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9"/>
      <c r="F117" s="10"/>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9"/>
      <c r="F118" s="10"/>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9"/>
      <c r="F119" s="10"/>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9"/>
      <c r="F120" s="10"/>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9"/>
      <c r="F121" s="10"/>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9"/>
      <c r="F122" s="10"/>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9"/>
      <c r="F123" s="10"/>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9"/>
      <c r="F124" s="10"/>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9"/>
      <c r="F125" s="10"/>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9"/>
      <c r="F126" s="10"/>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9"/>
      <c r="F127" s="10"/>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9"/>
      <c r="F128" s="10"/>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9"/>
      <c r="F129" s="10"/>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9"/>
      <c r="F130" s="10"/>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9"/>
      <c r="F131" s="10"/>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9"/>
      <c r="F132" s="10"/>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9"/>
      <c r="F133" s="10"/>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9"/>
      <c r="F134" s="10"/>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9"/>
      <c r="F135" s="10"/>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9"/>
      <c r="F136" s="10"/>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9"/>
      <c r="F137" s="10"/>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9"/>
      <c r="F138" s="10"/>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9"/>
      <c r="F139" s="10"/>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9"/>
      <c r="F140" s="10"/>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9"/>
      <c r="F141" s="10"/>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9"/>
      <c r="F142" s="10"/>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9"/>
      <c r="F143" s="10"/>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9"/>
      <c r="F144" s="10"/>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9"/>
      <c r="F145" s="10"/>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9"/>
      <c r="F146" s="10"/>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9"/>
      <c r="F147" s="10"/>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9"/>
      <c r="F148" s="10"/>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9"/>
      <c r="F149" s="10"/>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9"/>
      <c r="F150" s="10"/>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9"/>
      <c r="F151" s="10"/>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9"/>
      <c r="F152" s="10"/>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9"/>
      <c r="F153" s="10"/>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9"/>
      <c r="F154" s="10"/>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9"/>
      <c r="F155" s="10"/>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9"/>
      <c r="F156" s="10"/>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9"/>
      <c r="F157" s="10"/>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9"/>
      <c r="F158" s="10"/>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9"/>
      <c r="F159" s="10"/>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9"/>
      <c r="F160" s="10"/>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9"/>
      <c r="F161" s="10"/>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9"/>
      <c r="F162" s="10"/>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9"/>
      <c r="F163" s="10"/>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9"/>
      <c r="F164" s="10"/>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9"/>
      <c r="F165" s="10"/>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9"/>
      <c r="F166" s="10"/>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9"/>
      <c r="F167" s="10"/>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9"/>
      <c r="F168" s="10"/>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9"/>
      <c r="F169" s="10"/>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9"/>
      <c r="F170" s="10"/>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9"/>
      <c r="F171" s="10"/>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9"/>
      <c r="F172" s="10"/>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9"/>
      <c r="F173" s="10"/>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9"/>
      <c r="F174" s="10"/>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9"/>
      <c r="F175" s="10"/>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9"/>
      <c r="F176" s="10"/>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9"/>
      <c r="F177" s="10"/>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9"/>
      <c r="F178" s="10"/>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9"/>
      <c r="F179" s="10"/>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9"/>
      <c r="F180" s="10"/>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9"/>
      <c r="F181" s="10"/>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9"/>
      <c r="F182" s="10"/>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9"/>
      <c r="F183" s="10"/>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9"/>
      <c r="F184" s="10"/>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9"/>
      <c r="F185" s="10"/>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9"/>
      <c r="F186" s="10"/>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9"/>
      <c r="F187" s="10"/>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9"/>
      <c r="F188" s="10"/>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9"/>
      <c r="F189" s="10"/>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9"/>
      <c r="F190" s="10"/>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9"/>
      <c r="F191" s="10"/>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9"/>
      <c r="F192" s="10"/>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9"/>
      <c r="F193" s="10"/>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9"/>
      <c r="F194" s="10"/>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9"/>
      <c r="F195" s="10"/>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9"/>
      <c r="F196" s="10"/>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9"/>
      <c r="F197" s="10"/>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9"/>
      <c r="F198" s="10"/>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9"/>
      <c r="F199" s="10"/>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9"/>
      <c r="F200" s="10"/>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9"/>
      <c r="F201" s="10"/>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9"/>
      <c r="F202" s="10"/>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9"/>
      <c r="F203" s="10"/>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9"/>
      <c r="F204" s="10"/>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9"/>
      <c r="F205" s="10"/>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9"/>
      <c r="F206" s="10"/>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9"/>
      <c r="F207" s="10"/>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9"/>
      <c r="F208" s="10"/>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9"/>
      <c r="F209" s="10"/>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9"/>
      <c r="F210" s="10"/>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9"/>
      <c r="F211" s="10"/>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9"/>
      <c r="F212" s="10"/>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9"/>
      <c r="F213" s="10"/>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9"/>
      <c r="F214" s="10"/>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9"/>
      <c r="F215" s="10"/>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9"/>
      <c r="F216" s="10"/>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9"/>
      <c r="F217" s="10"/>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9"/>
      <c r="F218" s="10"/>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9"/>
      <c r="F219" s="10"/>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9"/>
      <c r="F220" s="10"/>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9"/>
      <c r="F221" s="10"/>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9"/>
      <c r="F222" s="10"/>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9"/>
      <c r="F223" s="10"/>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9"/>
      <c r="F224" s="10"/>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9"/>
      <c r="F225" s="10"/>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9"/>
      <c r="F226" s="10"/>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9"/>
      <c r="F227" s="10"/>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9"/>
      <c r="F228" s="10"/>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9"/>
      <c r="F229" s="10"/>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9"/>
      <c r="F230" s="10"/>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9"/>
      <c r="F231" s="10"/>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9"/>
      <c r="F232" s="10"/>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9"/>
      <c r="F233" s="10"/>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9"/>
      <c r="F234" s="10"/>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9"/>
      <c r="F235" s="10"/>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9"/>
      <c r="F236" s="10"/>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9"/>
      <c r="F237" s="10"/>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9"/>
      <c r="F238" s="10"/>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9"/>
      <c r="F239" s="10"/>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9"/>
      <c r="F240" s="10"/>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9"/>
      <c r="F241" s="10"/>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9"/>
      <c r="F242" s="10"/>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9"/>
      <c r="F243" s="10"/>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9"/>
      <c r="F244" s="10"/>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9"/>
      <c r="F245" s="10"/>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9"/>
      <c r="F246" s="10"/>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9"/>
      <c r="F247" s="10"/>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9"/>
      <c r="F248" s="10"/>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9"/>
      <c r="F249" s="10"/>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9"/>
      <c r="F250" s="10"/>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9"/>
      <c r="F251" s="10"/>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9"/>
      <c r="F252" s="10"/>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9"/>
      <c r="F253" s="10"/>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9"/>
      <c r="F254" s="10"/>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9"/>
      <c r="F255" s="10"/>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9"/>
      <c r="F256" s="10"/>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9"/>
      <c r="F257" s="10"/>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9"/>
      <c r="F258" s="10"/>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9"/>
      <c r="F259" s="10"/>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9"/>
      <c r="F260" s="10"/>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9"/>
      <c r="F261" s="10"/>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9"/>
      <c r="F262" s="10"/>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9"/>
      <c r="F263" s="10"/>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9"/>
      <c r="F264" s="10"/>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9"/>
      <c r="F265" s="10"/>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9"/>
      <c r="F266" s="10"/>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9"/>
      <c r="F267" s="10"/>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9"/>
      <c r="F268" s="10"/>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9"/>
      <c r="F269" s="10"/>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9"/>
      <c r="F270" s="10"/>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9"/>
      <c r="F271" s="10"/>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9"/>
      <c r="F272" s="10"/>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9"/>
      <c r="F273" s="10"/>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9"/>
      <c r="F274" s="10"/>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9"/>
      <c r="F275" s="10"/>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9"/>
      <c r="F276" s="10"/>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9"/>
      <c r="F277" s="10"/>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9"/>
      <c r="F278" s="10"/>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9"/>
      <c r="F279" s="10"/>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9"/>
      <c r="F280" s="10"/>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9"/>
      <c r="F281" s="10"/>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9"/>
      <c r="F282" s="10"/>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9"/>
      <c r="F283" s="10"/>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9"/>
      <c r="F284" s="10"/>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9"/>
      <c r="F285" s="10"/>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9"/>
      <c r="F286" s="10"/>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9"/>
      <c r="F287" s="10"/>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9"/>
      <c r="F288" s="10"/>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9"/>
      <c r="F289" s="10"/>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9"/>
      <c r="F290" s="10"/>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9"/>
      <c r="F291" s="10"/>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9"/>
      <c r="F292" s="10"/>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9"/>
      <c r="F293" s="10"/>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9"/>
      <c r="F294" s="10"/>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9"/>
      <c r="F295" s="10"/>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9"/>
      <c r="F296" s="10"/>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9"/>
      <c r="F297" s="10"/>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9"/>
      <c r="F298" s="10"/>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9"/>
      <c r="F299" s="10"/>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9"/>
      <c r="F300" s="10"/>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9"/>
      <c r="F301" s="10"/>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9"/>
      <c r="F302" s="10"/>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9"/>
      <c r="F303" s="10"/>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9"/>
      <c r="F304" s="10"/>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9"/>
      <c r="F305" s="10"/>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9"/>
      <c r="F306" s="10"/>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9"/>
      <c r="F307" s="10"/>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9"/>
      <c r="F308" s="10"/>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9"/>
      <c r="F309" s="10"/>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9"/>
      <c r="F310" s="10"/>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9"/>
      <c r="F311" s="10"/>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9"/>
      <c r="F312" s="10"/>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9"/>
      <c r="F313" s="10"/>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9"/>
      <c r="F314" s="10"/>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9"/>
      <c r="F315" s="10"/>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9"/>
      <c r="F316" s="10"/>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9"/>
      <c r="F317" s="10"/>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9"/>
      <c r="F318" s="10"/>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9"/>
      <c r="F319" s="10"/>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9"/>
      <c r="F320" s="10"/>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9"/>
      <c r="F321" s="10"/>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9"/>
      <c r="F322" s="10"/>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9"/>
      <c r="F323" s="10"/>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9"/>
      <c r="F324" s="10"/>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9"/>
      <c r="F325" s="10"/>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9"/>
      <c r="F326" s="10"/>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9"/>
      <c r="F327" s="10"/>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9"/>
      <c r="F328" s="10"/>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9"/>
      <c r="F329" s="10"/>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9"/>
      <c r="F330" s="10"/>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9"/>
      <c r="F331" s="10"/>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9"/>
      <c r="F332" s="10"/>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9"/>
      <c r="F333" s="10"/>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9"/>
      <c r="F334" s="10"/>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9"/>
      <c r="F335" s="10"/>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9"/>
      <c r="F336" s="10"/>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9"/>
      <c r="F337" s="10"/>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9"/>
      <c r="F338" s="10"/>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9"/>
      <c r="F339" s="10"/>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9"/>
      <c r="F340" s="10"/>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9"/>
      <c r="F341" s="10"/>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9"/>
      <c r="F342" s="10"/>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9"/>
      <c r="F343" s="10"/>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9"/>
      <c r="F344" s="10"/>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9"/>
      <c r="F345" s="10"/>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9"/>
      <c r="F346" s="10"/>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9"/>
      <c r="F347" s="10"/>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9"/>
      <c r="F348" s="10"/>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9"/>
      <c r="F349" s="10"/>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9"/>
      <c r="F350" s="10"/>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9"/>
      <c r="F351" s="10"/>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9"/>
      <c r="F352" s="10"/>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9"/>
      <c r="F353" s="10"/>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9"/>
      <c r="F354" s="10"/>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9"/>
      <c r="F355" s="10"/>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9"/>
      <c r="F356" s="10"/>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9"/>
      <c r="F357" s="10"/>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9"/>
      <c r="F358" s="10"/>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9"/>
      <c r="F359" s="10"/>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9"/>
      <c r="F360" s="10"/>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9"/>
      <c r="F361" s="10"/>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9"/>
      <c r="F362" s="10"/>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9"/>
      <c r="F363" s="10"/>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9"/>
      <c r="F364" s="10"/>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9"/>
      <c r="F365" s="10"/>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9"/>
      <c r="F366" s="10"/>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9"/>
      <c r="F367" s="10"/>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9"/>
      <c r="F368" s="10"/>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9"/>
      <c r="F369" s="10"/>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9"/>
      <c r="F370" s="10"/>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9"/>
      <c r="F371" s="10"/>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9"/>
      <c r="F372" s="10"/>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9"/>
      <c r="F373" s="10"/>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9"/>
      <c r="F374" s="10"/>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9"/>
      <c r="F375" s="10"/>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9"/>
      <c r="F376" s="10"/>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9"/>
      <c r="F377" s="10"/>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9"/>
      <c r="F378" s="10"/>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9"/>
      <c r="F379" s="10"/>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9"/>
      <c r="F380" s="10"/>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9"/>
      <c r="F381" s="10"/>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9"/>
      <c r="F382" s="10"/>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9"/>
      <c r="F383" s="10"/>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9"/>
      <c r="F384" s="10"/>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9"/>
      <c r="F385" s="10"/>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9"/>
      <c r="F386" s="10"/>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9"/>
      <c r="F387" s="10"/>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9"/>
      <c r="F388" s="10"/>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9"/>
      <c r="F389" s="10"/>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9"/>
      <c r="F390" s="10"/>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9"/>
      <c r="F391" s="10"/>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9"/>
      <c r="F392" s="10"/>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9"/>
      <c r="F393" s="10"/>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9"/>
      <c r="F394" s="10"/>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9"/>
      <c r="F395" s="10"/>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9"/>
      <c r="F396" s="10"/>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9"/>
      <c r="F397" s="10"/>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9"/>
      <c r="F398" s="10"/>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9"/>
      <c r="F399" s="10"/>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9"/>
      <c r="F400" s="10"/>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9"/>
      <c r="F401" s="10"/>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9"/>
      <c r="F402" s="10"/>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9"/>
      <c r="F403" s="10"/>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9"/>
      <c r="F404" s="10"/>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9"/>
      <c r="F405" s="10"/>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9"/>
      <c r="F406" s="10"/>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9"/>
      <c r="F407" s="10"/>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9"/>
      <c r="F408" s="10"/>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9"/>
      <c r="F409" s="10"/>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9"/>
      <c r="F410" s="10"/>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9"/>
      <c r="F411" s="10"/>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9"/>
      <c r="F412" s="10"/>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9"/>
      <c r="F413" s="10"/>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9"/>
      <c r="F414" s="10"/>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9"/>
      <c r="F415" s="10"/>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9"/>
      <c r="F416" s="10"/>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9"/>
      <c r="F417" s="10"/>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9"/>
      <c r="F418" s="10"/>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9"/>
      <c r="F419" s="10"/>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9"/>
      <c r="F420" s="10"/>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9"/>
      <c r="F421" s="10"/>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9"/>
      <c r="F422" s="10"/>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9"/>
      <c r="F423" s="10"/>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9"/>
      <c r="F424" s="10"/>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9"/>
      <c r="F425" s="10"/>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9"/>
      <c r="F426" s="10"/>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9"/>
      <c r="F427" s="10"/>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9"/>
      <c r="F428" s="10"/>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9"/>
      <c r="F429" s="10"/>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9"/>
      <c r="F430" s="10"/>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9"/>
      <c r="F431" s="10"/>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9"/>
      <c r="F432" s="10"/>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9"/>
      <c r="F433" s="10"/>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9"/>
      <c r="F434" s="10"/>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9"/>
      <c r="F435" s="10"/>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9"/>
      <c r="F436" s="10"/>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9"/>
      <c r="F437" s="10"/>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9"/>
      <c r="F438" s="10"/>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9"/>
      <c r="F439" s="10"/>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9"/>
      <c r="F440" s="10"/>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9"/>
      <c r="F441" s="10"/>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9"/>
      <c r="F442" s="10"/>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9"/>
      <c r="F443" s="10"/>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9"/>
      <c r="F444" s="10"/>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9"/>
      <c r="F445" s="10"/>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9"/>
      <c r="F446" s="10"/>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9"/>
      <c r="F447" s="10"/>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9"/>
      <c r="F448" s="10"/>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9"/>
      <c r="F449" s="10"/>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9"/>
      <c r="F450" s="10"/>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9"/>
      <c r="F451" s="10"/>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9"/>
      <c r="F452" s="10"/>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9"/>
      <c r="F453" s="10"/>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9"/>
      <c r="F454" s="10"/>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9"/>
      <c r="F455" s="10"/>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9"/>
      <c r="F456" s="10"/>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9"/>
      <c r="F457" s="10"/>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9"/>
      <c r="F458" s="10"/>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9"/>
      <c r="F459" s="10"/>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9"/>
      <c r="F460" s="10"/>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9"/>
      <c r="F461" s="10"/>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9"/>
      <c r="F462" s="10"/>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9"/>
      <c r="F463" s="10"/>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9"/>
      <c r="F464" s="10"/>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9"/>
      <c r="F465" s="10"/>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9"/>
      <c r="F466" s="10"/>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9"/>
      <c r="F467" s="10"/>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9"/>
      <c r="F468" s="10"/>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9"/>
      <c r="F469" s="10"/>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9"/>
      <c r="F470" s="10"/>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9"/>
      <c r="F471" s="10"/>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9"/>
      <c r="F472" s="10"/>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9"/>
      <c r="F473" s="10"/>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9"/>
      <c r="F474" s="10"/>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9"/>
      <c r="F475" s="10"/>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9"/>
      <c r="F476" s="10"/>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9"/>
      <c r="F477" s="10"/>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9"/>
      <c r="F478" s="10"/>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9"/>
      <c r="F479" s="10"/>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9"/>
      <c r="F480" s="10"/>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9"/>
      <c r="F481" s="10"/>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9"/>
      <c r="F482" s="10"/>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9"/>
      <c r="F483" s="10"/>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9"/>
      <c r="F484" s="10"/>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9"/>
      <c r="F485" s="10"/>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9"/>
      <c r="F486" s="10"/>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9"/>
      <c r="F487" s="10"/>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9"/>
      <c r="F488" s="10"/>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9"/>
      <c r="F489" s="10"/>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9"/>
      <c r="F490" s="10"/>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9"/>
      <c r="F491" s="10"/>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9"/>
      <c r="F492" s="10"/>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9"/>
      <c r="F493" s="10"/>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9"/>
      <c r="F494" s="10"/>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9"/>
      <c r="F495" s="10"/>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9"/>
      <c r="F496" s="10"/>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9"/>
      <c r="F497" s="10"/>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9"/>
      <c r="F498" s="10"/>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9"/>
      <c r="F499" s="10"/>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9"/>
      <c r="F500" s="10"/>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9"/>
      <c r="F501" s="10"/>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9"/>
      <c r="F502" s="10"/>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9"/>
      <c r="F503" s="10"/>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9"/>
      <c r="F504" s="10"/>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9"/>
      <c r="F505" s="10"/>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9"/>
      <c r="F506" s="10"/>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9"/>
      <c r="F507" s="10"/>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9"/>
      <c r="F508" s="10"/>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9"/>
      <c r="F509" s="10"/>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9"/>
      <c r="F510" s="10"/>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9"/>
      <c r="F511" s="10"/>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9"/>
      <c r="F512" s="10"/>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9"/>
      <c r="F513" s="10"/>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9"/>
      <c r="F514" s="10"/>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9"/>
      <c r="F515" s="10"/>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9"/>
      <c r="F516" s="10"/>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9"/>
      <c r="F517" s="10"/>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9"/>
      <c r="F518" s="10"/>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9"/>
      <c r="F519" s="10"/>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9"/>
      <c r="F520" s="10"/>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9"/>
      <c r="F521" s="10"/>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9"/>
      <c r="F522" s="10"/>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9"/>
      <c r="F523" s="10"/>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9"/>
      <c r="F524" s="10"/>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9"/>
      <c r="F525" s="10"/>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9"/>
      <c r="F526" s="10"/>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9"/>
      <c r="F527" s="10"/>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9"/>
      <c r="F528" s="10"/>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9"/>
      <c r="F529" s="10"/>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9"/>
      <c r="F530" s="10"/>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9"/>
      <c r="F531" s="10"/>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9"/>
      <c r="F532" s="10"/>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9"/>
      <c r="F533" s="10"/>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9"/>
      <c r="F534" s="10"/>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9"/>
      <c r="F535" s="10"/>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9"/>
      <c r="F536" s="10"/>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9"/>
      <c r="F537" s="10"/>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9"/>
      <c r="F538" s="10"/>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9"/>
      <c r="F539" s="10"/>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9"/>
      <c r="F540" s="10"/>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9"/>
      <c r="F541" s="10"/>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9"/>
      <c r="F542" s="10"/>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9"/>
      <c r="F543" s="10"/>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9"/>
      <c r="F544" s="10"/>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9"/>
      <c r="F545" s="10"/>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9"/>
      <c r="F546" s="10"/>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9"/>
      <c r="F547" s="10"/>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9"/>
      <c r="F548" s="10"/>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9"/>
      <c r="F549" s="10"/>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9"/>
      <c r="F550" s="10"/>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9"/>
      <c r="F551" s="10"/>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9"/>
      <c r="F552" s="10"/>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9"/>
      <c r="F553" s="10"/>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9"/>
      <c r="F554" s="10"/>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9"/>
      <c r="F555" s="10"/>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9"/>
      <c r="F556" s="10"/>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9"/>
      <c r="F557" s="10"/>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9"/>
      <c r="F558" s="10"/>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9"/>
      <c r="F559" s="10"/>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9"/>
      <c r="F560" s="10"/>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9"/>
      <c r="F561" s="10"/>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9"/>
      <c r="F562" s="10"/>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9"/>
      <c r="F563" s="10"/>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9"/>
      <c r="F564" s="10"/>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9"/>
      <c r="F565" s="10"/>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9"/>
      <c r="F566" s="10"/>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9"/>
      <c r="F567" s="10"/>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9"/>
      <c r="F568" s="10"/>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9"/>
      <c r="F569" s="10"/>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9"/>
      <c r="F570" s="10"/>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9"/>
      <c r="F571" s="10"/>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9"/>
      <c r="F572" s="10"/>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9"/>
      <c r="F573" s="10"/>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9"/>
      <c r="F574" s="10"/>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9"/>
      <c r="F575" s="10"/>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9"/>
      <c r="F576" s="10"/>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9"/>
      <c r="F577" s="10"/>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9"/>
      <c r="F578" s="10"/>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9"/>
      <c r="F579" s="10"/>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9"/>
      <c r="F580" s="10"/>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9"/>
      <c r="F581" s="10"/>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9"/>
      <c r="F582" s="10"/>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9"/>
      <c r="F583" s="10"/>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9"/>
      <c r="F584" s="10"/>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9"/>
      <c r="F585" s="10"/>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9"/>
      <c r="F586" s="10"/>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9"/>
      <c r="F587" s="10"/>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9"/>
      <c r="F588" s="10"/>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9"/>
      <c r="F589" s="10"/>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9"/>
      <c r="F590" s="10"/>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9"/>
      <c r="F591" s="10"/>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9"/>
      <c r="F592" s="10"/>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9"/>
      <c r="F593" s="10"/>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9"/>
      <c r="F594" s="10"/>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9"/>
      <c r="F595" s="10"/>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9"/>
      <c r="F596" s="10"/>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9"/>
      <c r="F597" s="10"/>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9"/>
      <c r="F598" s="10"/>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9"/>
      <c r="F599" s="10"/>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9"/>
      <c r="F600" s="10"/>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9"/>
      <c r="F601" s="10"/>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9"/>
      <c r="F602" s="10"/>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9"/>
      <c r="F603" s="10"/>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9"/>
      <c r="F604" s="10"/>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9"/>
      <c r="F605" s="10"/>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9"/>
      <c r="F606" s="10"/>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9"/>
      <c r="F607" s="10"/>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9"/>
      <c r="F608" s="10"/>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9"/>
      <c r="F609" s="10"/>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9"/>
      <c r="F610" s="10"/>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9"/>
      <c r="F611" s="10"/>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9"/>
      <c r="F612" s="10"/>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9"/>
      <c r="F613" s="10"/>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9"/>
      <c r="F614" s="10"/>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9"/>
      <c r="F615" s="10"/>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9"/>
      <c r="F616" s="10"/>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9"/>
      <c r="F617" s="10"/>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9"/>
      <c r="F618" s="10"/>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9"/>
      <c r="F619" s="10"/>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9"/>
      <c r="F620" s="10"/>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9"/>
      <c r="F621" s="10"/>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9"/>
      <c r="F622" s="10"/>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9"/>
      <c r="F623" s="10"/>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9"/>
      <c r="F624" s="10"/>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9"/>
      <c r="F625" s="10"/>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9"/>
      <c r="F626" s="10"/>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9"/>
      <c r="F627" s="10"/>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9"/>
      <c r="F628" s="10"/>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9"/>
      <c r="F629" s="10"/>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9"/>
      <c r="F630" s="10"/>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9"/>
      <c r="F631" s="10"/>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9"/>
      <c r="F632" s="10"/>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9"/>
      <c r="F633" s="10"/>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9"/>
      <c r="F634" s="10"/>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9"/>
      <c r="F635" s="10"/>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9"/>
      <c r="F636" s="10"/>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9"/>
      <c r="F637" s="10"/>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9"/>
      <c r="F638" s="10"/>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9"/>
      <c r="F639" s="10"/>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9"/>
      <c r="F640" s="10"/>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9"/>
      <c r="F641" s="10"/>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9"/>
      <c r="F642" s="10"/>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9"/>
      <c r="F643" s="10"/>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9"/>
      <c r="F644" s="10"/>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9"/>
      <c r="F645" s="10"/>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9"/>
      <c r="F646" s="10"/>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9"/>
      <c r="F647" s="10"/>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9"/>
      <c r="F648" s="10"/>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9"/>
      <c r="F649" s="10"/>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9"/>
      <c r="F650" s="10"/>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9"/>
      <c r="F651" s="10"/>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9"/>
      <c r="F652" s="10"/>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9"/>
      <c r="F653" s="10"/>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9"/>
      <c r="F654" s="10"/>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9"/>
      <c r="F655" s="10"/>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9"/>
      <c r="F656" s="10"/>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9"/>
      <c r="F657" s="10"/>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9"/>
      <c r="F658" s="10"/>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9"/>
      <c r="F659" s="10"/>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9"/>
      <c r="F660" s="10"/>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9"/>
      <c r="F661" s="10"/>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9"/>
      <c r="F662" s="10"/>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9"/>
      <c r="F663" s="10"/>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9"/>
      <c r="F664" s="10"/>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9"/>
      <c r="F665" s="10"/>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9"/>
      <c r="F666" s="10"/>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9"/>
      <c r="F667" s="10"/>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9"/>
      <c r="F668" s="10"/>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9"/>
      <c r="F669" s="10"/>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9"/>
      <c r="F670" s="10"/>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9"/>
      <c r="F671" s="10"/>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9"/>
      <c r="F672" s="10"/>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9"/>
      <c r="F673" s="10"/>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9"/>
      <c r="F674" s="10"/>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9"/>
      <c r="F675" s="10"/>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9"/>
      <c r="F676" s="10"/>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9"/>
      <c r="F677" s="10"/>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9"/>
      <c r="F678" s="10"/>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9"/>
      <c r="F679" s="10"/>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9"/>
      <c r="F680" s="10"/>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9"/>
      <c r="F681" s="10"/>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9"/>
      <c r="F682" s="10"/>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9"/>
      <c r="F683" s="10"/>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9"/>
      <c r="F684" s="10"/>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9"/>
      <c r="F685" s="10"/>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9"/>
      <c r="F686" s="10"/>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9"/>
      <c r="F687" s="10"/>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9"/>
      <c r="F688" s="10"/>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9"/>
      <c r="F689" s="10"/>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9"/>
      <c r="F690" s="10"/>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9"/>
      <c r="F691" s="10"/>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9"/>
      <c r="F692" s="10"/>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9"/>
      <c r="F693" s="10"/>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9"/>
      <c r="F694" s="10"/>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9"/>
      <c r="F695" s="10"/>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9"/>
      <c r="F696" s="10"/>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9"/>
      <c r="F697" s="10"/>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9"/>
      <c r="F698" s="10"/>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9"/>
      <c r="F699" s="10"/>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9"/>
      <c r="F700" s="10"/>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9"/>
      <c r="F701" s="10"/>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9"/>
      <c r="F702" s="10"/>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9"/>
      <c r="F703" s="10"/>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9"/>
      <c r="F704" s="10"/>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9"/>
      <c r="F705" s="10"/>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9"/>
      <c r="F706" s="10"/>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9"/>
      <c r="F707" s="10"/>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9"/>
      <c r="F708" s="10"/>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9"/>
      <c r="F709" s="10"/>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9"/>
      <c r="F710" s="10"/>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9"/>
      <c r="F711" s="10"/>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9"/>
      <c r="F712" s="10"/>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9"/>
      <c r="F713" s="10"/>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9"/>
      <c r="F714" s="10"/>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9"/>
      <c r="F715" s="10"/>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9"/>
      <c r="F716" s="10"/>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9"/>
      <c r="F717" s="10"/>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9"/>
      <c r="F718" s="10"/>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9"/>
      <c r="F719" s="10"/>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9"/>
      <c r="F720" s="10"/>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9"/>
      <c r="F721" s="10"/>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9"/>
      <c r="F722" s="10"/>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9"/>
      <c r="F723" s="10"/>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9"/>
      <c r="F724" s="10"/>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9"/>
      <c r="F725" s="10"/>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9"/>
      <c r="F726" s="10"/>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9"/>
      <c r="F727" s="10"/>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9"/>
      <c r="F728" s="10"/>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9"/>
      <c r="F729" s="10"/>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9"/>
      <c r="F730" s="10"/>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9"/>
      <c r="F731" s="10"/>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9"/>
      <c r="F732" s="10"/>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9"/>
      <c r="F733" s="10"/>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9"/>
      <c r="F734" s="10"/>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9"/>
      <c r="F735" s="10"/>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9"/>
      <c r="F736" s="10"/>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9"/>
      <c r="F737" s="10"/>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9"/>
      <c r="F738" s="10"/>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9"/>
      <c r="F739" s="10"/>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9"/>
      <c r="F740" s="10"/>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9"/>
      <c r="F741" s="10"/>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9"/>
      <c r="F742" s="10"/>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9"/>
      <c r="F743" s="10"/>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9"/>
      <c r="F744" s="10"/>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9"/>
      <c r="F745" s="10"/>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9"/>
      <c r="F746" s="10"/>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9"/>
      <c r="F747" s="10"/>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9"/>
      <c r="F748" s="10"/>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9"/>
      <c r="F749" s="10"/>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9"/>
      <c r="F750" s="10"/>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9"/>
      <c r="F751" s="10"/>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9"/>
      <c r="F752" s="10"/>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9"/>
      <c r="F753" s="10"/>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9"/>
      <c r="F754" s="10"/>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9"/>
      <c r="F755" s="10"/>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9"/>
      <c r="F756" s="10"/>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9"/>
      <c r="F757" s="10"/>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9"/>
      <c r="F758" s="10"/>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9"/>
      <c r="F759" s="10"/>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9"/>
      <c r="F760" s="10"/>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9"/>
      <c r="F761" s="10"/>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9"/>
      <c r="F762" s="10"/>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9"/>
      <c r="F763" s="10"/>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9"/>
      <c r="F764" s="10"/>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9"/>
      <c r="F765" s="10"/>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9"/>
      <c r="F766" s="10"/>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9"/>
      <c r="F767" s="10"/>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9"/>
      <c r="F768" s="10"/>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9"/>
      <c r="F769" s="10"/>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9"/>
      <c r="F770" s="10"/>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9"/>
      <c r="F771" s="10"/>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9"/>
      <c r="F772" s="10"/>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9"/>
      <c r="F773" s="10"/>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9"/>
      <c r="F774" s="10"/>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9"/>
      <c r="F775" s="10"/>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9"/>
      <c r="F776" s="10"/>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9"/>
      <c r="F777" s="10"/>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9"/>
      <c r="F778" s="10"/>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9"/>
      <c r="F779" s="10"/>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9"/>
      <c r="F780" s="10"/>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9"/>
      <c r="F781" s="10"/>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9"/>
      <c r="F782" s="10"/>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9"/>
      <c r="F783" s="10"/>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9"/>
      <c r="F784" s="10"/>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9"/>
      <c r="F785" s="10"/>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9"/>
      <c r="F786" s="10"/>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9"/>
      <c r="F787" s="10"/>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9"/>
      <c r="F788" s="10"/>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9"/>
      <c r="F789" s="10"/>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9"/>
      <c r="F790" s="10"/>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9"/>
      <c r="F791" s="10"/>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9"/>
      <c r="F792" s="10"/>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9"/>
      <c r="F793" s="10"/>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9"/>
      <c r="F794" s="10"/>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9"/>
      <c r="F795" s="10"/>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9"/>
      <c r="F796" s="10"/>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9"/>
      <c r="F797" s="10"/>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9"/>
      <c r="F798" s="10"/>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9"/>
      <c r="F799" s="10"/>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9"/>
      <c r="F800" s="10"/>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9"/>
      <c r="F801" s="10"/>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9"/>
      <c r="F802" s="10"/>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9"/>
      <c r="F803" s="10"/>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9"/>
      <c r="F804" s="10"/>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9"/>
      <c r="F805" s="10"/>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9"/>
      <c r="F806" s="10"/>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9"/>
      <c r="F807" s="10"/>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9"/>
      <c r="F808" s="10"/>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9"/>
      <c r="F809" s="10"/>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9"/>
      <c r="F810" s="10"/>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9"/>
      <c r="F811" s="10"/>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9"/>
      <c r="F812" s="10"/>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9"/>
      <c r="F813" s="10"/>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9"/>
      <c r="F814" s="10"/>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9"/>
      <c r="F815" s="10"/>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9"/>
      <c r="F816" s="10"/>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9"/>
      <c r="F817" s="10"/>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9"/>
      <c r="F818" s="10"/>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9"/>
      <c r="F819" s="10"/>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9"/>
      <c r="F820" s="10"/>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9"/>
      <c r="F821" s="10"/>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9"/>
      <c r="F822" s="10"/>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9"/>
      <c r="F823" s="10"/>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9"/>
      <c r="F824" s="10"/>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9"/>
      <c r="F825" s="10"/>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9"/>
      <c r="F826" s="10"/>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9"/>
      <c r="F827" s="10"/>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9"/>
      <c r="F828" s="10"/>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9"/>
      <c r="F829" s="10"/>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9"/>
      <c r="F830" s="10"/>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9"/>
      <c r="F831" s="10"/>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9"/>
      <c r="F832" s="10"/>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9"/>
      <c r="F833" s="10"/>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9"/>
      <c r="F834" s="10"/>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9"/>
      <c r="F835" s="10"/>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9"/>
      <c r="F836" s="10"/>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9"/>
      <c r="F837" s="10"/>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9"/>
      <c r="F838" s="10"/>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9"/>
      <c r="F839" s="10"/>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9"/>
      <c r="F840" s="10"/>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9"/>
      <c r="F841" s="10"/>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9"/>
      <c r="F842" s="10"/>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9"/>
      <c r="F843" s="10"/>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9"/>
      <c r="F844" s="10"/>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9"/>
      <c r="F845" s="10"/>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9"/>
      <c r="F846" s="10"/>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9"/>
      <c r="F847" s="10"/>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9"/>
      <c r="F848" s="10"/>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9"/>
      <c r="F849" s="10"/>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9"/>
      <c r="F850" s="10"/>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9"/>
      <c r="F851" s="10"/>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9"/>
      <c r="F852" s="10"/>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9"/>
      <c r="F853" s="10"/>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9"/>
      <c r="F854" s="10"/>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9"/>
      <c r="F855" s="10"/>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9"/>
      <c r="F856" s="10"/>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9"/>
      <c r="F857" s="10"/>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9"/>
      <c r="F858" s="10"/>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9"/>
      <c r="F859" s="10"/>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9"/>
      <c r="F860" s="10"/>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9"/>
      <c r="F861" s="10"/>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9"/>
      <c r="F862" s="10"/>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9"/>
      <c r="F863" s="10"/>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9"/>
      <c r="F864" s="10"/>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9"/>
      <c r="F865" s="10"/>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9"/>
      <c r="F866" s="10"/>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9"/>
      <c r="F867" s="10"/>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9"/>
      <c r="F868" s="10"/>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9"/>
      <c r="F869" s="10"/>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9"/>
      <c r="F870" s="10"/>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9"/>
      <c r="F871" s="10"/>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9"/>
      <c r="F872" s="10"/>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9"/>
      <c r="F873" s="10"/>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9"/>
      <c r="F874" s="10"/>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9"/>
      <c r="F875" s="10"/>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9"/>
      <c r="F876" s="10"/>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9"/>
      <c r="F877" s="10"/>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9"/>
      <c r="F878" s="10"/>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9"/>
      <c r="F879" s="10"/>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9"/>
      <c r="F880" s="10"/>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9"/>
      <c r="F881" s="10"/>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9"/>
      <c r="F882" s="10"/>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9"/>
      <c r="F883" s="10"/>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9"/>
      <c r="F884" s="10"/>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9"/>
      <c r="F885" s="10"/>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9"/>
      <c r="F886" s="10"/>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9"/>
      <c r="F887" s="10"/>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9"/>
      <c r="F888" s="10"/>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9"/>
      <c r="F889" s="10"/>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9"/>
      <c r="F890" s="10"/>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9"/>
      <c r="F891" s="10"/>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9"/>
      <c r="F892" s="10"/>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9"/>
      <c r="F893" s="10"/>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9"/>
      <c r="F894" s="10"/>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9"/>
      <c r="F895" s="10"/>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9"/>
      <c r="F896" s="10"/>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9"/>
      <c r="F897" s="10"/>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9"/>
      <c r="F898" s="10"/>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9"/>
      <c r="F899" s="10"/>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9"/>
      <c r="F900" s="10"/>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9"/>
      <c r="F901" s="10"/>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9"/>
      <c r="F902" s="10"/>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9"/>
      <c r="F903" s="10"/>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9"/>
      <c r="F904" s="10"/>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9"/>
      <c r="F905" s="10"/>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9"/>
      <c r="F906" s="10"/>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9"/>
      <c r="F907" s="10"/>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9"/>
      <c r="F908" s="10"/>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9"/>
      <c r="F909" s="10"/>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9"/>
      <c r="F910" s="10"/>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9"/>
      <c r="F911" s="10"/>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9"/>
      <c r="F912" s="10"/>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9"/>
      <c r="F913" s="10"/>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9"/>
      <c r="F914" s="10"/>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9"/>
      <c r="F915" s="10"/>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9"/>
      <c r="F916" s="10"/>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9"/>
      <c r="F917" s="10"/>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9"/>
      <c r="F918" s="10"/>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9"/>
      <c r="F919" s="10"/>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9"/>
      <c r="F920" s="10"/>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9"/>
      <c r="F921" s="10"/>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9"/>
      <c r="F922" s="10"/>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9"/>
      <c r="F923" s="10"/>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9"/>
      <c r="F924" s="10"/>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9"/>
      <c r="F925" s="10"/>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9"/>
      <c r="F926" s="10"/>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9"/>
      <c r="F927" s="10"/>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9"/>
      <c r="F928" s="10"/>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9"/>
      <c r="F929" s="10"/>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9"/>
      <c r="F930" s="10"/>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9"/>
      <c r="F931" s="10"/>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9"/>
      <c r="F932" s="10"/>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9"/>
      <c r="F933" s="10"/>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9"/>
      <c r="F934" s="10"/>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9"/>
      <c r="F935" s="10"/>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9"/>
      <c r="F936" s="10"/>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9"/>
      <c r="F937" s="10"/>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9"/>
      <c r="F938" s="10"/>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9"/>
      <c r="F939" s="10"/>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9"/>
      <c r="F940" s="10"/>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9"/>
      <c r="F941" s="10"/>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9"/>
      <c r="F942" s="10"/>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9"/>
      <c r="F943" s="10"/>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9"/>
      <c r="F944" s="10"/>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9"/>
      <c r="F945" s="10"/>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9"/>
      <c r="F946" s="10"/>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9"/>
      <c r="F947" s="10"/>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9"/>
      <c r="F948" s="10"/>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9"/>
      <c r="F949" s="10"/>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9"/>
      <c r="F950" s="10"/>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9"/>
      <c r="F951" s="10"/>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9"/>
      <c r="F952" s="10"/>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9"/>
      <c r="F953" s="10"/>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9"/>
      <c r="F954" s="10"/>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I955" s="7"/>
      <c r="P955" s="7"/>
      <c r="Q955" s="7"/>
      <c r="R955" s="7"/>
      <c r="S955" s="7"/>
      <c r="T955" s="7"/>
      <c r="U955" s="7"/>
      <c r="V955" s="7"/>
      <c r="W955" s="7"/>
      <c r="X955" s="7"/>
      <c r="Y955" s="7"/>
      <c r="Z955" s="7"/>
      <c r="AA955" s="7"/>
    </row>
  </sheetData>
  <mergeCells count="9">
    <mergeCell ref="E12:G12"/>
    <mergeCell ref="E21:G21"/>
    <mergeCell ref="A2:A7"/>
    <mergeCell ref="E4:H4"/>
    <mergeCell ref="E6:H6"/>
    <mergeCell ref="E13:H13"/>
    <mergeCell ref="J13:O13"/>
    <mergeCell ref="A14:C59"/>
    <mergeCell ref="J18:O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8" max="8" width="49.5"/>
  </cols>
  <sheetData>
    <row r="1">
      <c r="A1" s="55" t="s">
        <v>196</v>
      </c>
      <c r="B1" s="4"/>
      <c r="C1" s="4"/>
      <c r="D1" s="4"/>
      <c r="E1" s="4"/>
      <c r="F1" s="4"/>
      <c r="G1" s="4"/>
      <c r="H1" s="8"/>
      <c r="I1" s="56"/>
      <c r="J1" s="56"/>
      <c r="K1" s="56"/>
      <c r="L1" s="56"/>
      <c r="M1" s="56"/>
      <c r="N1" s="56"/>
      <c r="O1" s="56"/>
      <c r="P1" s="56"/>
      <c r="Q1" s="56"/>
      <c r="R1" s="56"/>
      <c r="S1" s="56"/>
      <c r="T1" s="56"/>
      <c r="U1" s="56"/>
      <c r="V1" s="56"/>
      <c r="W1" s="56"/>
      <c r="X1" s="56"/>
      <c r="Y1" s="56"/>
      <c r="Z1" s="56"/>
    </row>
    <row r="2">
      <c r="A2" s="57" t="s">
        <v>200</v>
      </c>
      <c r="B2" s="4"/>
      <c r="C2" s="8"/>
      <c r="D2" s="58" t="s">
        <v>201</v>
      </c>
      <c r="E2" s="58" t="s">
        <v>202</v>
      </c>
      <c r="F2" s="59" t="s">
        <v>203</v>
      </c>
      <c r="G2" s="59" t="s">
        <v>204</v>
      </c>
      <c r="H2" s="60" t="s">
        <v>205</v>
      </c>
      <c r="I2" s="56"/>
      <c r="J2" s="56"/>
      <c r="K2" s="56"/>
      <c r="L2" s="56"/>
      <c r="M2" s="56"/>
      <c r="N2" s="56"/>
      <c r="O2" s="56"/>
      <c r="P2" s="56"/>
      <c r="Q2" s="56"/>
      <c r="R2" s="56"/>
      <c r="S2" s="56"/>
      <c r="T2" s="56"/>
      <c r="U2" s="56"/>
      <c r="V2" s="56"/>
      <c r="W2" s="56"/>
      <c r="X2" s="56"/>
      <c r="Y2" s="56"/>
      <c r="Z2" s="56"/>
    </row>
    <row r="3">
      <c r="A3" s="61" t="s">
        <v>206</v>
      </c>
      <c r="B3" s="4"/>
      <c r="C3" s="4"/>
      <c r="D3" s="4"/>
      <c r="E3" s="4"/>
      <c r="F3" s="4"/>
      <c r="G3" s="4"/>
      <c r="H3" s="8"/>
      <c r="I3" s="56"/>
      <c r="J3" s="56"/>
      <c r="K3" s="56"/>
      <c r="L3" s="56"/>
      <c r="M3" s="56"/>
      <c r="N3" s="56"/>
      <c r="O3" s="56"/>
      <c r="P3" s="56"/>
      <c r="Q3" s="56"/>
      <c r="R3" s="56"/>
      <c r="S3" s="56"/>
      <c r="T3" s="56"/>
      <c r="U3" s="56"/>
      <c r="V3" s="56"/>
      <c r="W3" s="56"/>
      <c r="X3" s="56"/>
      <c r="Y3" s="56"/>
      <c r="Z3" s="56"/>
    </row>
    <row r="4">
      <c r="A4" s="62" t="s">
        <v>207</v>
      </c>
      <c r="B4" s="4"/>
      <c r="C4" s="8"/>
      <c r="D4" s="63" t="s">
        <v>208</v>
      </c>
      <c r="E4" s="63">
        <v>1.0</v>
      </c>
      <c r="F4" s="64">
        <v>4.5E7</v>
      </c>
      <c r="G4" s="64">
        <f t="shared" ref="G4:G9" si="1">E4*F4</f>
        <v>45000000</v>
      </c>
      <c r="H4" s="65" t="s">
        <v>209</v>
      </c>
      <c r="I4" s="56"/>
      <c r="J4" s="56"/>
      <c r="K4" s="56"/>
      <c r="L4" s="56"/>
      <c r="M4" s="56"/>
      <c r="N4" s="56"/>
      <c r="O4" s="56"/>
      <c r="P4" s="56"/>
      <c r="Q4" s="56"/>
      <c r="R4" s="56"/>
      <c r="S4" s="56"/>
      <c r="T4" s="56"/>
      <c r="U4" s="56"/>
      <c r="V4" s="56"/>
      <c r="W4" s="56"/>
      <c r="X4" s="56"/>
      <c r="Y4" s="56"/>
      <c r="Z4" s="56"/>
    </row>
    <row r="5">
      <c r="A5" s="62" t="s">
        <v>210</v>
      </c>
      <c r="B5" s="4"/>
      <c r="C5" s="8"/>
      <c r="D5" s="63" t="s">
        <v>211</v>
      </c>
      <c r="E5" s="63">
        <v>1.0</v>
      </c>
      <c r="F5" s="64">
        <v>1.0E7</v>
      </c>
      <c r="G5" s="64">
        <f t="shared" si="1"/>
        <v>10000000</v>
      </c>
      <c r="H5" s="65" t="s">
        <v>212</v>
      </c>
      <c r="I5" s="56"/>
      <c r="J5" s="56"/>
      <c r="K5" s="56"/>
      <c r="L5" s="56"/>
      <c r="M5" s="56"/>
      <c r="N5" s="56"/>
      <c r="O5" s="56"/>
      <c r="P5" s="56"/>
      <c r="Q5" s="56"/>
      <c r="R5" s="56"/>
      <c r="S5" s="56"/>
      <c r="T5" s="56"/>
      <c r="U5" s="56"/>
      <c r="V5" s="56"/>
      <c r="W5" s="56"/>
      <c r="X5" s="56"/>
      <c r="Y5" s="56"/>
      <c r="Z5" s="56"/>
    </row>
    <row r="6">
      <c r="A6" s="62" t="s">
        <v>213</v>
      </c>
      <c r="B6" s="4"/>
      <c r="C6" s="8"/>
      <c r="D6" s="63" t="s">
        <v>214</v>
      </c>
      <c r="E6" s="63">
        <v>1.0</v>
      </c>
      <c r="F6" s="64">
        <v>2.0E7</v>
      </c>
      <c r="G6" s="64">
        <f t="shared" si="1"/>
        <v>20000000</v>
      </c>
      <c r="H6" s="65" t="s">
        <v>215</v>
      </c>
      <c r="I6" s="56"/>
      <c r="J6" s="56"/>
      <c r="K6" s="56"/>
      <c r="L6" s="56"/>
      <c r="M6" s="56"/>
      <c r="N6" s="56"/>
      <c r="O6" s="56"/>
      <c r="P6" s="56"/>
      <c r="Q6" s="56"/>
      <c r="R6" s="56"/>
      <c r="S6" s="56"/>
      <c r="T6" s="56"/>
      <c r="U6" s="56"/>
      <c r="V6" s="56"/>
      <c r="W6" s="56"/>
      <c r="X6" s="56"/>
      <c r="Y6" s="56"/>
      <c r="Z6" s="56"/>
    </row>
    <row r="7">
      <c r="A7" s="62" t="s">
        <v>216</v>
      </c>
      <c r="B7" s="4"/>
      <c r="C7" s="8"/>
      <c r="D7" s="63" t="s">
        <v>217</v>
      </c>
      <c r="E7" s="63">
        <v>1.0</v>
      </c>
      <c r="F7" s="64">
        <v>4000000.0</v>
      </c>
      <c r="G7" s="64">
        <f t="shared" si="1"/>
        <v>4000000</v>
      </c>
      <c r="H7" s="65" t="s">
        <v>218</v>
      </c>
      <c r="I7" s="56"/>
      <c r="J7" s="56"/>
      <c r="K7" s="56"/>
      <c r="L7" s="56"/>
      <c r="M7" s="56"/>
      <c r="N7" s="56"/>
      <c r="O7" s="56"/>
      <c r="P7" s="56"/>
      <c r="Q7" s="56"/>
      <c r="R7" s="56"/>
      <c r="S7" s="56"/>
      <c r="T7" s="56"/>
      <c r="U7" s="56"/>
      <c r="V7" s="56"/>
      <c r="W7" s="56"/>
      <c r="X7" s="56"/>
      <c r="Y7" s="56"/>
      <c r="Z7" s="56"/>
    </row>
    <row r="8">
      <c r="A8" s="62" t="s">
        <v>219</v>
      </c>
      <c r="B8" s="4"/>
      <c r="C8" s="8"/>
      <c r="D8" s="63" t="s">
        <v>220</v>
      </c>
      <c r="E8" s="63">
        <v>1.0</v>
      </c>
      <c r="F8" s="64">
        <v>1.2E7</v>
      </c>
      <c r="G8" s="64">
        <f t="shared" si="1"/>
        <v>12000000</v>
      </c>
      <c r="H8" s="65" t="s">
        <v>221</v>
      </c>
      <c r="I8" s="56"/>
      <c r="J8" s="56"/>
      <c r="K8" s="56"/>
      <c r="L8" s="56"/>
      <c r="M8" s="56"/>
      <c r="N8" s="56"/>
      <c r="O8" s="56"/>
      <c r="P8" s="56"/>
      <c r="Q8" s="56"/>
      <c r="R8" s="56"/>
      <c r="S8" s="56"/>
      <c r="T8" s="56"/>
      <c r="U8" s="56"/>
      <c r="V8" s="56"/>
      <c r="W8" s="56"/>
      <c r="X8" s="56"/>
      <c r="Y8" s="56"/>
      <c r="Z8" s="56"/>
    </row>
    <row r="9">
      <c r="A9" s="62" t="s">
        <v>222</v>
      </c>
      <c r="B9" s="4"/>
      <c r="C9" s="8"/>
      <c r="D9" s="63" t="s">
        <v>223</v>
      </c>
      <c r="E9" s="63">
        <v>1.0</v>
      </c>
      <c r="F9" s="64">
        <v>6000000.0</v>
      </c>
      <c r="G9" s="64">
        <f t="shared" si="1"/>
        <v>6000000</v>
      </c>
      <c r="H9" s="65" t="s">
        <v>224</v>
      </c>
      <c r="I9" s="56"/>
      <c r="J9" s="56"/>
      <c r="K9" s="56"/>
      <c r="L9" s="56"/>
      <c r="M9" s="56"/>
      <c r="N9" s="56"/>
      <c r="O9" s="56"/>
      <c r="P9" s="56"/>
      <c r="Q9" s="56"/>
      <c r="R9" s="56"/>
      <c r="S9" s="56"/>
      <c r="T9" s="56"/>
      <c r="U9" s="56"/>
      <c r="V9" s="56"/>
      <c r="W9" s="56"/>
      <c r="X9" s="56"/>
      <c r="Y9" s="56"/>
      <c r="Z9" s="56"/>
    </row>
    <row r="10">
      <c r="A10" s="61" t="s">
        <v>225</v>
      </c>
      <c r="B10" s="4"/>
      <c r="C10" s="4"/>
      <c r="D10" s="4"/>
      <c r="E10" s="4"/>
      <c r="F10" s="4"/>
      <c r="G10" s="4"/>
      <c r="H10" s="8"/>
      <c r="I10" s="56"/>
      <c r="J10" s="56"/>
      <c r="K10" s="56"/>
      <c r="L10" s="56"/>
      <c r="M10" s="56"/>
      <c r="N10" s="56"/>
      <c r="O10" s="56"/>
      <c r="P10" s="56"/>
      <c r="Q10" s="56"/>
      <c r="R10" s="56"/>
      <c r="S10" s="56"/>
      <c r="T10" s="56"/>
      <c r="U10" s="56"/>
      <c r="V10" s="56"/>
      <c r="W10" s="56"/>
      <c r="X10" s="56"/>
      <c r="Y10" s="56"/>
      <c r="Z10" s="56"/>
    </row>
    <row r="11">
      <c r="A11" s="62" t="s">
        <v>226</v>
      </c>
      <c r="B11" s="4"/>
      <c r="C11" s="8"/>
      <c r="D11" s="63" t="s">
        <v>227</v>
      </c>
      <c r="E11" s="63">
        <v>1.0</v>
      </c>
      <c r="F11" s="64">
        <v>3500000.0</v>
      </c>
      <c r="G11" s="64">
        <f t="shared" ref="G11:G13" si="2">E11*F11</f>
        <v>3500000</v>
      </c>
      <c r="H11" s="65" t="s">
        <v>228</v>
      </c>
      <c r="I11" s="56"/>
      <c r="J11" s="56"/>
      <c r="K11" s="56"/>
      <c r="L11" s="56"/>
      <c r="M11" s="56"/>
      <c r="N11" s="56"/>
      <c r="O11" s="56"/>
      <c r="P11" s="56"/>
      <c r="Q11" s="56"/>
      <c r="R11" s="56"/>
      <c r="S11" s="56"/>
      <c r="T11" s="56"/>
      <c r="U11" s="56"/>
      <c r="V11" s="56"/>
      <c r="W11" s="56"/>
      <c r="X11" s="56"/>
      <c r="Y11" s="56"/>
      <c r="Z11" s="56"/>
    </row>
    <row r="12">
      <c r="A12" s="62" t="s">
        <v>229</v>
      </c>
      <c r="B12" s="4"/>
      <c r="C12" s="8"/>
      <c r="D12" s="63" t="s">
        <v>230</v>
      </c>
      <c r="E12" s="63">
        <v>1.0</v>
      </c>
      <c r="F12" s="64">
        <v>2500000.0</v>
      </c>
      <c r="G12" s="64">
        <f t="shared" si="2"/>
        <v>2500000</v>
      </c>
      <c r="H12" s="65" t="s">
        <v>231</v>
      </c>
      <c r="I12" s="56"/>
      <c r="J12" s="56"/>
      <c r="K12" s="56"/>
      <c r="L12" s="56"/>
      <c r="M12" s="56"/>
      <c r="N12" s="56"/>
      <c r="O12" s="56"/>
      <c r="P12" s="56"/>
      <c r="Q12" s="56"/>
      <c r="R12" s="56"/>
      <c r="S12" s="56"/>
      <c r="T12" s="56"/>
      <c r="U12" s="56"/>
      <c r="V12" s="56"/>
      <c r="W12" s="56"/>
      <c r="X12" s="56"/>
      <c r="Y12" s="56"/>
      <c r="Z12" s="56"/>
    </row>
    <row r="13">
      <c r="A13" s="62" t="s">
        <v>232</v>
      </c>
      <c r="B13" s="4"/>
      <c r="C13" s="8"/>
      <c r="D13" s="63" t="s">
        <v>233</v>
      </c>
      <c r="E13" s="63">
        <v>1.0</v>
      </c>
      <c r="F13" s="64">
        <v>4000000.0</v>
      </c>
      <c r="G13" s="64">
        <f t="shared" si="2"/>
        <v>4000000</v>
      </c>
      <c r="H13" s="65" t="s">
        <v>234</v>
      </c>
      <c r="I13" s="56"/>
      <c r="J13" s="56"/>
      <c r="K13" s="56"/>
      <c r="L13" s="56"/>
      <c r="M13" s="56"/>
      <c r="N13" s="56"/>
      <c r="O13" s="56"/>
      <c r="P13" s="56"/>
      <c r="Q13" s="56"/>
      <c r="R13" s="56"/>
      <c r="S13" s="56"/>
      <c r="T13" s="56"/>
      <c r="U13" s="56"/>
      <c r="V13" s="56"/>
      <c r="W13" s="56"/>
      <c r="X13" s="56"/>
      <c r="Y13" s="56"/>
      <c r="Z13" s="56"/>
    </row>
    <row r="14">
      <c r="A14" s="61" t="s">
        <v>235</v>
      </c>
      <c r="B14" s="4"/>
      <c r="C14" s="4"/>
      <c r="D14" s="4"/>
      <c r="E14" s="4"/>
      <c r="F14" s="4"/>
      <c r="G14" s="4"/>
      <c r="H14" s="8"/>
      <c r="I14" s="56"/>
      <c r="J14" s="56"/>
      <c r="K14" s="56"/>
      <c r="L14" s="56"/>
      <c r="M14" s="56"/>
      <c r="N14" s="56"/>
      <c r="O14" s="56"/>
      <c r="P14" s="56"/>
      <c r="Q14" s="56"/>
      <c r="R14" s="56"/>
      <c r="S14" s="56"/>
      <c r="T14" s="56"/>
      <c r="U14" s="56"/>
      <c r="V14" s="56"/>
      <c r="W14" s="56"/>
      <c r="X14" s="56"/>
      <c r="Y14" s="56"/>
      <c r="Z14" s="56"/>
    </row>
    <row r="15">
      <c r="A15" s="62" t="s">
        <v>236</v>
      </c>
      <c r="B15" s="4"/>
      <c r="C15" s="8"/>
      <c r="D15" s="67" t="s">
        <v>237</v>
      </c>
      <c r="E15" s="67">
        <v>1.0</v>
      </c>
      <c r="F15" s="68">
        <v>0.0</v>
      </c>
      <c r="G15" s="70">
        <f t="shared" ref="G15:G25" si="3">E15*F15</f>
        <v>0</v>
      </c>
      <c r="H15" s="18"/>
      <c r="I15" s="56"/>
      <c r="J15" s="56"/>
      <c r="K15" s="56"/>
      <c r="L15" s="56"/>
      <c r="M15" s="56"/>
      <c r="N15" s="56"/>
      <c r="O15" s="56"/>
      <c r="P15" s="56"/>
      <c r="Q15" s="56"/>
      <c r="R15" s="56"/>
      <c r="S15" s="56"/>
      <c r="T15" s="56"/>
      <c r="U15" s="56"/>
      <c r="V15" s="56"/>
      <c r="W15" s="56"/>
      <c r="X15" s="56"/>
      <c r="Y15" s="56"/>
      <c r="Z15" s="56"/>
    </row>
    <row r="16">
      <c r="A16" s="62" t="s">
        <v>239</v>
      </c>
      <c r="B16" s="4"/>
      <c r="C16" s="8"/>
      <c r="D16" s="67" t="s">
        <v>240</v>
      </c>
      <c r="E16" s="67">
        <v>1.0</v>
      </c>
      <c r="F16" s="68">
        <v>2000000.0</v>
      </c>
      <c r="G16" s="70">
        <f t="shared" si="3"/>
        <v>2000000</v>
      </c>
      <c r="H16" s="18"/>
      <c r="I16" s="56"/>
      <c r="J16" s="56"/>
      <c r="K16" s="56"/>
      <c r="L16" s="56"/>
      <c r="M16" s="56"/>
      <c r="N16" s="56"/>
      <c r="O16" s="56"/>
      <c r="P16" s="56"/>
      <c r="Q16" s="56"/>
      <c r="R16" s="56"/>
      <c r="S16" s="56"/>
      <c r="T16" s="56"/>
      <c r="U16" s="56"/>
      <c r="V16" s="56"/>
      <c r="W16" s="56"/>
      <c r="X16" s="56"/>
      <c r="Y16" s="56"/>
      <c r="Z16" s="56"/>
    </row>
    <row r="17">
      <c r="A17" s="62" t="s">
        <v>241</v>
      </c>
      <c r="B17" s="4"/>
      <c r="C17" s="8"/>
      <c r="D17" s="67" t="s">
        <v>240</v>
      </c>
      <c r="E17" s="67">
        <v>1.0</v>
      </c>
      <c r="F17" s="68">
        <v>4810000.0</v>
      </c>
      <c r="G17" s="70">
        <f t="shared" si="3"/>
        <v>4810000</v>
      </c>
      <c r="H17" s="18"/>
      <c r="I17" s="56"/>
      <c r="J17" s="56"/>
      <c r="K17" s="56"/>
      <c r="L17" s="56"/>
      <c r="M17" s="56"/>
      <c r="N17" s="56"/>
      <c r="O17" s="56"/>
      <c r="P17" s="56"/>
      <c r="Q17" s="56"/>
      <c r="R17" s="56"/>
      <c r="S17" s="56"/>
      <c r="T17" s="56"/>
      <c r="U17" s="56"/>
      <c r="V17" s="56"/>
      <c r="W17" s="56"/>
      <c r="X17" s="56"/>
      <c r="Y17" s="56"/>
      <c r="Z17" s="56"/>
    </row>
    <row r="18">
      <c r="A18" s="62" t="s">
        <v>242</v>
      </c>
      <c r="B18" s="4"/>
      <c r="C18" s="8"/>
      <c r="D18" s="67" t="s">
        <v>243</v>
      </c>
      <c r="E18" s="67">
        <v>1.0</v>
      </c>
      <c r="F18" s="68">
        <v>3608000.0</v>
      </c>
      <c r="G18" s="70">
        <f t="shared" si="3"/>
        <v>3608000</v>
      </c>
      <c r="H18" s="67" t="s">
        <v>244</v>
      </c>
      <c r="I18" s="56"/>
      <c r="J18" s="56"/>
      <c r="K18" s="56"/>
      <c r="L18" s="56"/>
      <c r="M18" s="56"/>
      <c r="N18" s="56"/>
      <c r="O18" s="56"/>
      <c r="P18" s="56"/>
      <c r="Q18" s="56"/>
      <c r="R18" s="56"/>
      <c r="S18" s="56"/>
      <c r="T18" s="56"/>
      <c r="U18" s="56"/>
      <c r="V18" s="56"/>
      <c r="W18" s="56"/>
      <c r="X18" s="56"/>
      <c r="Y18" s="56"/>
      <c r="Z18" s="56"/>
    </row>
    <row r="19">
      <c r="A19" s="62" t="s">
        <v>246</v>
      </c>
      <c r="B19" s="4"/>
      <c r="C19" s="8"/>
      <c r="D19" s="67" t="s">
        <v>248</v>
      </c>
      <c r="E19" s="67">
        <v>1.0</v>
      </c>
      <c r="F19" s="79">
        <v>450.0</v>
      </c>
      <c r="G19" s="80">
        <f t="shared" si="3"/>
        <v>450</v>
      </c>
      <c r="H19" s="18"/>
      <c r="I19" s="56"/>
      <c r="J19" s="56"/>
      <c r="K19" s="56"/>
      <c r="L19" s="56"/>
      <c r="M19" s="56"/>
      <c r="N19" s="56"/>
      <c r="O19" s="56"/>
      <c r="P19" s="56"/>
      <c r="Q19" s="56"/>
      <c r="R19" s="56"/>
      <c r="S19" s="56"/>
      <c r="T19" s="56"/>
      <c r="U19" s="56"/>
      <c r="V19" s="56"/>
      <c r="W19" s="56"/>
      <c r="X19" s="56"/>
      <c r="Y19" s="56"/>
      <c r="Z19" s="56"/>
    </row>
    <row r="20">
      <c r="A20" s="62" t="s">
        <v>250</v>
      </c>
      <c r="B20" s="4"/>
      <c r="C20" s="8"/>
      <c r="D20" s="67" t="s">
        <v>251</v>
      </c>
      <c r="E20" s="67">
        <v>1.0</v>
      </c>
      <c r="F20" s="68">
        <v>1000000.0</v>
      </c>
      <c r="G20" s="70">
        <f t="shared" si="3"/>
        <v>1000000</v>
      </c>
      <c r="H20" s="18"/>
      <c r="I20" s="56"/>
      <c r="J20" s="56"/>
      <c r="K20" s="56"/>
      <c r="L20" s="56"/>
      <c r="M20" s="56"/>
      <c r="N20" s="56"/>
      <c r="O20" s="56"/>
      <c r="P20" s="56"/>
      <c r="Q20" s="56"/>
      <c r="R20" s="56"/>
      <c r="S20" s="56"/>
      <c r="T20" s="56"/>
      <c r="U20" s="56"/>
      <c r="V20" s="56"/>
      <c r="W20" s="56"/>
      <c r="X20" s="56"/>
      <c r="Y20" s="56"/>
      <c r="Z20" s="56"/>
    </row>
    <row r="21">
      <c r="A21" s="62" t="s">
        <v>253</v>
      </c>
      <c r="B21" s="4"/>
      <c r="C21" s="8"/>
      <c r="D21" s="67" t="s">
        <v>254</v>
      </c>
      <c r="E21" s="83">
        <v>1000.0</v>
      </c>
      <c r="F21" s="68">
        <v>1000.0</v>
      </c>
      <c r="G21" s="70">
        <f t="shared" si="3"/>
        <v>1000000</v>
      </c>
      <c r="H21" s="18"/>
      <c r="I21" s="56"/>
      <c r="J21" s="56"/>
      <c r="K21" s="56"/>
      <c r="L21" s="56"/>
      <c r="M21" s="56"/>
      <c r="N21" s="56"/>
      <c r="O21" s="56"/>
      <c r="P21" s="56"/>
      <c r="Q21" s="56"/>
      <c r="R21" s="56"/>
      <c r="S21" s="56"/>
      <c r="T21" s="56"/>
      <c r="U21" s="56"/>
      <c r="V21" s="56"/>
      <c r="W21" s="56"/>
      <c r="X21" s="56"/>
      <c r="Y21" s="56"/>
      <c r="Z21" s="56"/>
    </row>
    <row r="22">
      <c r="A22" s="62" t="s">
        <v>257</v>
      </c>
      <c r="B22" s="4"/>
      <c r="C22" s="8"/>
      <c r="D22" s="67" t="s">
        <v>240</v>
      </c>
      <c r="E22" s="67">
        <v>1.0</v>
      </c>
      <c r="F22" s="68">
        <v>5000000.0</v>
      </c>
      <c r="G22" s="70">
        <f t="shared" si="3"/>
        <v>5000000</v>
      </c>
      <c r="H22" s="18"/>
      <c r="I22" s="56"/>
      <c r="J22" s="70">
        <f>SUM(G15:G25)</f>
        <v>21408450</v>
      </c>
      <c r="K22" s="88" t="s">
        <v>263</v>
      </c>
      <c r="L22" s="56"/>
      <c r="M22" s="56"/>
      <c r="N22" s="56"/>
      <c r="O22" s="56"/>
      <c r="P22" s="56"/>
      <c r="Q22" s="56"/>
      <c r="R22" s="56"/>
      <c r="S22" s="56"/>
      <c r="T22" s="56"/>
      <c r="U22" s="56"/>
      <c r="V22" s="56"/>
      <c r="W22" s="56"/>
      <c r="X22" s="56"/>
      <c r="Y22" s="56"/>
      <c r="Z22" s="56"/>
    </row>
    <row r="23">
      <c r="A23" s="62" t="s">
        <v>266</v>
      </c>
      <c r="B23" s="4"/>
      <c r="C23" s="8"/>
      <c r="D23" s="67" t="s">
        <v>240</v>
      </c>
      <c r="E23" s="67">
        <v>1.0</v>
      </c>
      <c r="F23" s="68">
        <v>1000000.0</v>
      </c>
      <c r="G23" s="70">
        <f t="shared" si="3"/>
        <v>1000000</v>
      </c>
      <c r="H23" s="18"/>
      <c r="I23" s="91"/>
      <c r="J23" s="91"/>
      <c r="K23" s="56"/>
      <c r="L23" s="56"/>
      <c r="M23" s="56"/>
      <c r="N23" s="56"/>
      <c r="O23" s="56"/>
      <c r="P23" s="56"/>
      <c r="Q23" s="56"/>
      <c r="R23" s="56"/>
      <c r="S23" s="56"/>
      <c r="T23" s="56"/>
      <c r="U23" s="56"/>
      <c r="V23" s="56"/>
      <c r="W23" s="56"/>
      <c r="X23" s="56"/>
      <c r="Y23" s="56"/>
      <c r="Z23" s="56"/>
    </row>
    <row r="24">
      <c r="A24" s="62" t="s">
        <v>268</v>
      </c>
      <c r="B24" s="4"/>
      <c r="C24" s="8"/>
      <c r="D24" s="67" t="s">
        <v>270</v>
      </c>
      <c r="E24" s="67">
        <v>1.0</v>
      </c>
      <c r="F24" s="68">
        <v>1000000.0</v>
      </c>
      <c r="G24" s="70">
        <f t="shared" si="3"/>
        <v>1000000</v>
      </c>
      <c r="H24" s="94" t="s">
        <v>271</v>
      </c>
      <c r="I24" s="56"/>
      <c r="J24" s="56"/>
      <c r="K24" s="56"/>
      <c r="L24" s="56"/>
      <c r="M24" s="56"/>
      <c r="N24" s="56"/>
      <c r="O24" s="56"/>
      <c r="P24" s="56"/>
      <c r="Q24" s="56"/>
      <c r="R24" s="56"/>
      <c r="S24" s="56"/>
      <c r="T24" s="56"/>
      <c r="U24" s="56"/>
      <c r="V24" s="56"/>
      <c r="W24" s="56"/>
      <c r="X24" s="56"/>
      <c r="Y24" s="56"/>
      <c r="Z24" s="56"/>
    </row>
    <row r="25">
      <c r="A25" s="62" t="s">
        <v>273</v>
      </c>
      <c r="B25" s="4"/>
      <c r="C25" s="8"/>
      <c r="D25" s="67" t="s">
        <v>240</v>
      </c>
      <c r="E25" s="67">
        <v>1.0</v>
      </c>
      <c r="F25" s="68">
        <v>1990000.0</v>
      </c>
      <c r="G25" s="70">
        <f t="shared" si="3"/>
        <v>1990000</v>
      </c>
      <c r="H25" s="18"/>
      <c r="I25" s="56"/>
      <c r="J25" s="56"/>
      <c r="K25" s="56"/>
      <c r="L25" s="56"/>
      <c r="M25" s="56"/>
      <c r="N25" s="56"/>
      <c r="O25" s="56"/>
      <c r="P25" s="56"/>
      <c r="Q25" s="56"/>
      <c r="R25" s="56"/>
      <c r="S25" s="56"/>
      <c r="T25" s="56"/>
      <c r="U25" s="56"/>
      <c r="V25" s="56"/>
      <c r="W25" s="56"/>
      <c r="X25" s="56"/>
      <c r="Y25" s="56"/>
      <c r="Z25" s="56"/>
    </row>
    <row r="26">
      <c r="A26" s="61" t="s">
        <v>275</v>
      </c>
      <c r="B26" s="4"/>
      <c r="C26" s="4"/>
      <c r="D26" s="4"/>
      <c r="E26" s="4"/>
      <c r="F26" s="4"/>
      <c r="G26" s="4"/>
      <c r="H26" s="8"/>
      <c r="I26" s="56"/>
      <c r="J26" s="56"/>
      <c r="K26" s="56"/>
      <c r="L26" s="56"/>
      <c r="M26" s="56"/>
      <c r="N26" s="56"/>
      <c r="O26" s="56"/>
      <c r="P26" s="56"/>
      <c r="Q26" s="56"/>
      <c r="R26" s="56"/>
      <c r="S26" s="56"/>
      <c r="T26" s="56"/>
      <c r="U26" s="56"/>
      <c r="V26" s="56"/>
      <c r="W26" s="56"/>
      <c r="X26" s="56"/>
      <c r="Y26" s="56"/>
      <c r="Z26" s="56"/>
    </row>
    <row r="27">
      <c r="A27" s="62" t="s">
        <v>276</v>
      </c>
      <c r="B27" s="4"/>
      <c r="C27" s="8"/>
      <c r="D27" s="63" t="s">
        <v>277</v>
      </c>
      <c r="E27" s="63">
        <v>2.0</v>
      </c>
      <c r="F27" s="64">
        <v>1.25E7</v>
      </c>
      <c r="G27" s="64">
        <f t="shared" ref="G27:G30" si="4">E27*F27</f>
        <v>25000000</v>
      </c>
      <c r="H27" s="65" t="s">
        <v>278</v>
      </c>
      <c r="I27" s="99"/>
      <c r="J27" s="56"/>
      <c r="K27" s="56"/>
      <c r="L27" s="56"/>
      <c r="M27" s="56"/>
      <c r="N27" s="56"/>
      <c r="O27" s="56"/>
      <c r="P27" s="56"/>
      <c r="Q27" s="56"/>
      <c r="R27" s="56"/>
      <c r="S27" s="56"/>
      <c r="T27" s="56"/>
      <c r="U27" s="56"/>
      <c r="V27" s="56"/>
      <c r="W27" s="56"/>
      <c r="X27" s="56"/>
      <c r="Y27" s="56"/>
      <c r="Z27" s="56"/>
    </row>
    <row r="28">
      <c r="A28" s="62" t="s">
        <v>279</v>
      </c>
      <c r="B28" s="4"/>
      <c r="C28" s="8"/>
      <c r="D28" s="100" t="s">
        <v>251</v>
      </c>
      <c r="E28" s="100">
        <v>10.0</v>
      </c>
      <c r="F28" s="101">
        <v>300000.0</v>
      </c>
      <c r="G28" s="64">
        <f t="shared" si="4"/>
        <v>3000000</v>
      </c>
      <c r="H28" s="65"/>
      <c r="I28" s="99"/>
      <c r="J28" s="56"/>
      <c r="K28" s="56"/>
      <c r="L28" s="56"/>
      <c r="M28" s="56"/>
      <c r="N28" s="56"/>
      <c r="O28" s="56"/>
      <c r="P28" s="56"/>
      <c r="Q28" s="56"/>
      <c r="R28" s="56"/>
      <c r="S28" s="56"/>
      <c r="T28" s="56"/>
      <c r="U28" s="56"/>
      <c r="V28" s="56"/>
      <c r="W28" s="56"/>
      <c r="X28" s="56"/>
      <c r="Y28" s="56"/>
      <c r="Z28" s="56"/>
    </row>
    <row r="29">
      <c r="A29" s="62" t="s">
        <v>280</v>
      </c>
      <c r="B29" s="4"/>
      <c r="C29" s="8"/>
      <c r="D29" s="100" t="s">
        <v>251</v>
      </c>
      <c r="E29" s="100">
        <v>1.0</v>
      </c>
      <c r="F29" s="101">
        <v>5690000.0</v>
      </c>
      <c r="G29" s="64">
        <f t="shared" si="4"/>
        <v>5690000</v>
      </c>
      <c r="H29" s="104" t="s">
        <v>281</v>
      </c>
      <c r="I29" s="99"/>
      <c r="J29" s="56"/>
      <c r="K29" s="56"/>
      <c r="L29" s="56"/>
      <c r="M29" s="56"/>
      <c r="N29" s="56"/>
      <c r="O29" s="56"/>
      <c r="P29" s="56"/>
      <c r="Q29" s="56"/>
      <c r="R29" s="56"/>
      <c r="S29" s="56"/>
      <c r="T29" s="56"/>
      <c r="U29" s="56"/>
      <c r="V29" s="56"/>
      <c r="W29" s="56"/>
      <c r="X29" s="56"/>
      <c r="Y29" s="56"/>
      <c r="Z29" s="56"/>
    </row>
    <row r="30">
      <c r="A30" s="62" t="s">
        <v>283</v>
      </c>
      <c r="B30" s="4"/>
      <c r="C30" s="8"/>
      <c r="D30" s="100" t="s">
        <v>251</v>
      </c>
      <c r="E30" s="100">
        <v>10.0</v>
      </c>
      <c r="F30" s="101">
        <v>700000.0</v>
      </c>
      <c r="G30" s="64">
        <f t="shared" si="4"/>
        <v>7000000</v>
      </c>
      <c r="H30" s="65"/>
      <c r="I30" s="99"/>
      <c r="J30" s="56"/>
      <c r="K30" s="56"/>
      <c r="L30" s="56"/>
      <c r="M30" s="56"/>
      <c r="N30" s="56"/>
      <c r="O30" s="56"/>
      <c r="P30" s="56"/>
      <c r="Q30" s="56"/>
      <c r="R30" s="56"/>
      <c r="S30" s="56"/>
      <c r="T30" s="56"/>
      <c r="U30" s="56"/>
      <c r="V30" s="56"/>
      <c r="W30" s="56"/>
      <c r="X30" s="56"/>
      <c r="Y30" s="56"/>
      <c r="Z30" s="56"/>
    </row>
    <row r="31">
      <c r="A31" s="62" t="s">
        <v>285</v>
      </c>
      <c r="B31" s="4"/>
      <c r="C31" s="8"/>
      <c r="D31" s="108" t="s">
        <v>287</v>
      </c>
      <c r="E31" s="67">
        <v>50.0</v>
      </c>
      <c r="F31" s="68">
        <v>250000.0</v>
      </c>
      <c r="G31" s="64">
        <f>E31*F31*3</f>
        <v>37500000</v>
      </c>
      <c r="H31" s="94" t="s">
        <v>289</v>
      </c>
      <c r="I31" s="99"/>
      <c r="J31" s="56"/>
      <c r="K31" s="56"/>
      <c r="L31" s="56"/>
      <c r="M31" s="56"/>
      <c r="N31" s="56"/>
      <c r="O31" s="56"/>
      <c r="P31" s="56"/>
      <c r="Q31" s="56"/>
      <c r="R31" s="56"/>
      <c r="S31" s="56"/>
      <c r="T31" s="56"/>
      <c r="U31" s="56"/>
      <c r="V31" s="56"/>
      <c r="W31" s="56"/>
      <c r="X31" s="56"/>
      <c r="Y31" s="56"/>
      <c r="Z31" s="56"/>
    </row>
    <row r="32">
      <c r="A32" s="62" t="s">
        <v>291</v>
      </c>
      <c r="B32" s="4"/>
      <c r="C32" s="8"/>
      <c r="D32" s="63" t="s">
        <v>292</v>
      </c>
      <c r="E32" s="63">
        <v>2.0</v>
      </c>
      <c r="F32" s="64">
        <v>3500000.0</v>
      </c>
      <c r="G32" s="64">
        <f>E32*F32</f>
        <v>7000000</v>
      </c>
      <c r="H32" s="65" t="s">
        <v>295</v>
      </c>
      <c r="I32" s="99"/>
      <c r="J32" s="56"/>
      <c r="K32" s="56"/>
      <c r="L32" s="56"/>
      <c r="M32" s="56"/>
      <c r="N32" s="56"/>
      <c r="O32" s="56"/>
      <c r="P32" s="56"/>
      <c r="Q32" s="56"/>
      <c r="R32" s="56"/>
      <c r="S32" s="56"/>
      <c r="T32" s="56"/>
      <c r="U32" s="56"/>
      <c r="V32" s="56"/>
      <c r="W32" s="56"/>
      <c r="X32" s="56"/>
      <c r="Y32" s="56"/>
      <c r="Z32" s="56"/>
    </row>
    <row r="33">
      <c r="A33" s="61" t="s">
        <v>296</v>
      </c>
      <c r="B33" s="4"/>
      <c r="C33" s="4"/>
      <c r="D33" s="4"/>
      <c r="E33" s="4"/>
      <c r="F33" s="4"/>
      <c r="G33" s="4"/>
      <c r="H33" s="8"/>
      <c r="I33" s="99"/>
      <c r="J33" s="56"/>
      <c r="K33" s="56"/>
      <c r="L33" s="56"/>
      <c r="M33" s="56"/>
      <c r="N33" s="56"/>
      <c r="O33" s="56"/>
      <c r="P33" s="56"/>
      <c r="Q33" s="56"/>
      <c r="R33" s="56"/>
      <c r="S33" s="56"/>
      <c r="T33" s="56"/>
      <c r="U33" s="56"/>
      <c r="V33" s="56"/>
      <c r="W33" s="56"/>
      <c r="X33" s="56"/>
      <c r="Y33" s="56"/>
      <c r="Z33" s="56"/>
    </row>
    <row r="34">
      <c r="A34" s="62" t="s">
        <v>297</v>
      </c>
      <c r="B34" s="4"/>
      <c r="C34" s="8"/>
      <c r="D34" s="63" t="s">
        <v>298</v>
      </c>
      <c r="E34" s="63">
        <v>1.0</v>
      </c>
      <c r="F34" s="64">
        <v>5000000.0</v>
      </c>
      <c r="G34" s="64">
        <f t="shared" ref="G34:G35" si="5">E34*F34</f>
        <v>5000000</v>
      </c>
      <c r="H34" s="65" t="s">
        <v>300</v>
      </c>
      <c r="I34" s="56"/>
      <c r="J34" s="56"/>
      <c r="K34" s="56"/>
      <c r="L34" s="56"/>
      <c r="M34" s="56"/>
      <c r="N34" s="56"/>
      <c r="O34" s="56"/>
      <c r="P34" s="56"/>
      <c r="Q34" s="56"/>
      <c r="R34" s="56"/>
      <c r="S34" s="56"/>
      <c r="T34" s="56"/>
      <c r="U34" s="56"/>
      <c r="V34" s="56"/>
      <c r="W34" s="56"/>
      <c r="X34" s="56"/>
      <c r="Y34" s="56"/>
      <c r="Z34" s="56"/>
    </row>
    <row r="35">
      <c r="A35" s="62" t="s">
        <v>302</v>
      </c>
      <c r="B35" s="4"/>
      <c r="C35" s="8"/>
      <c r="D35" s="63" t="s">
        <v>303</v>
      </c>
      <c r="E35" s="63">
        <v>1.0</v>
      </c>
      <c r="F35" s="64">
        <v>1.0E7</v>
      </c>
      <c r="G35" s="64">
        <f t="shared" si="5"/>
        <v>10000000</v>
      </c>
      <c r="H35" s="65" t="s">
        <v>306</v>
      </c>
      <c r="I35" s="56"/>
      <c r="J35" s="56"/>
      <c r="K35" s="56"/>
      <c r="L35" s="56"/>
      <c r="M35" s="56"/>
      <c r="N35" s="56"/>
      <c r="O35" s="56"/>
      <c r="P35" s="56"/>
      <c r="Q35" s="56"/>
      <c r="R35" s="56"/>
      <c r="S35" s="56"/>
      <c r="T35" s="56"/>
      <c r="U35" s="56"/>
      <c r="V35" s="56"/>
      <c r="W35" s="56"/>
      <c r="X35" s="56"/>
      <c r="Y35" s="56"/>
      <c r="Z35" s="56"/>
    </row>
    <row r="36">
      <c r="A36" s="113" t="s">
        <v>168</v>
      </c>
      <c r="B36" s="4"/>
      <c r="C36" s="4"/>
      <c r="D36" s="4"/>
      <c r="E36" s="4"/>
      <c r="F36" s="8"/>
      <c r="G36" s="114">
        <f>SUM(G4:G9)+SUM(G11:G13)+SUM(G15:G25)+SUM(G27:G32)+SUM(G34:G35)</f>
        <v>228598450</v>
      </c>
      <c r="H36" s="11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row r="1003">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row>
    <row r="1004">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row>
    <row r="1005">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row>
    <row r="1006">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row>
    <row r="1007">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row>
    <row r="1008">
      <c r="A1008" s="56"/>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row>
    <row r="1009">
      <c r="A1009" s="56"/>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row>
    <row r="1010">
      <c r="A1010" s="56"/>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row>
  </sheetData>
  <mergeCells count="36">
    <mergeCell ref="A1:H1"/>
    <mergeCell ref="A2:C2"/>
    <mergeCell ref="A3:H3"/>
    <mergeCell ref="A4:C4"/>
    <mergeCell ref="A5:C5"/>
    <mergeCell ref="A6:C6"/>
    <mergeCell ref="A7:C7"/>
    <mergeCell ref="A8:C8"/>
    <mergeCell ref="A9:C9"/>
    <mergeCell ref="A10:H10"/>
    <mergeCell ref="A11:C11"/>
    <mergeCell ref="A12:C12"/>
    <mergeCell ref="A13:C13"/>
    <mergeCell ref="A14:H14"/>
    <mergeCell ref="A15:C15"/>
    <mergeCell ref="A16:C16"/>
    <mergeCell ref="A17:C17"/>
    <mergeCell ref="A18:C18"/>
    <mergeCell ref="A19:C19"/>
    <mergeCell ref="A20:C20"/>
    <mergeCell ref="A21:C21"/>
    <mergeCell ref="A29:C29"/>
    <mergeCell ref="A30:C30"/>
    <mergeCell ref="A31:C31"/>
    <mergeCell ref="A32:C32"/>
    <mergeCell ref="A33:H33"/>
    <mergeCell ref="A34:C34"/>
    <mergeCell ref="A35:C35"/>
    <mergeCell ref="A36:F36"/>
    <mergeCell ref="A22:C22"/>
    <mergeCell ref="A23:C23"/>
    <mergeCell ref="A24:C24"/>
    <mergeCell ref="A25:C25"/>
    <mergeCell ref="A26:H26"/>
    <mergeCell ref="A27:C27"/>
    <mergeCell ref="A28:C28"/>
  </mergeCells>
  <hyperlinks>
    <hyperlink r:id="rId1" ref="K22"/>
    <hyperlink r:id="rId2" ref="H2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8.88"/>
    <col customWidth="1" min="2" max="2" width="15.13"/>
    <col customWidth="1" min="6" max="6" width="17.63"/>
    <col customWidth="1" min="7" max="7" width="21.13"/>
    <col customWidth="1" min="9" max="9" width="32.63"/>
    <col customWidth="1" min="11" max="11" width="16.0"/>
    <col customWidth="1" min="12" max="12" width="19.75"/>
    <col customWidth="1" min="13" max="13" width="13.38"/>
    <col customWidth="1" min="15" max="15" width="27.63"/>
    <col customWidth="1" min="18" max="18" width="13.88"/>
    <col customWidth="1" min="19" max="19" width="16.38"/>
    <col customWidth="1" min="20" max="20" width="15.13"/>
  </cols>
  <sheetData>
    <row r="1">
      <c r="A1" s="69" t="s">
        <v>238</v>
      </c>
      <c r="B1" s="4"/>
      <c r="C1" s="4"/>
      <c r="D1" s="4"/>
      <c r="E1" s="4"/>
      <c r="F1" s="4"/>
      <c r="G1" s="8"/>
      <c r="H1" s="71"/>
      <c r="I1" s="72"/>
      <c r="J1" s="72"/>
      <c r="K1" s="72"/>
      <c r="L1" s="72"/>
      <c r="M1" s="72"/>
      <c r="N1" s="72"/>
      <c r="O1" s="73"/>
      <c r="P1" s="73"/>
      <c r="Q1" s="73"/>
      <c r="R1" s="73"/>
      <c r="S1" s="73"/>
      <c r="T1" s="73"/>
      <c r="U1" s="73"/>
      <c r="V1" s="73"/>
      <c r="W1" s="73"/>
      <c r="X1" s="73"/>
      <c r="Y1" s="73"/>
      <c r="Z1" s="73"/>
      <c r="AA1" s="73"/>
      <c r="AB1" s="73"/>
      <c r="AC1" s="73"/>
    </row>
    <row r="2">
      <c r="A2" s="74" t="s">
        <v>200</v>
      </c>
      <c r="B2" s="75" t="s">
        <v>201</v>
      </c>
      <c r="C2" s="75" t="s">
        <v>202</v>
      </c>
      <c r="D2" s="76" t="s">
        <v>203</v>
      </c>
      <c r="E2" s="77" t="s">
        <v>245</v>
      </c>
      <c r="F2" s="78" t="s">
        <v>247</v>
      </c>
      <c r="G2" s="76" t="s">
        <v>205</v>
      </c>
      <c r="H2" s="71"/>
      <c r="I2" s="69" t="s">
        <v>249</v>
      </c>
      <c r="J2" s="4"/>
      <c r="K2" s="4"/>
      <c r="L2" s="4"/>
      <c r="M2" s="4"/>
      <c r="N2" s="8"/>
      <c r="O2" s="73"/>
      <c r="P2" s="73"/>
      <c r="Q2" s="73"/>
      <c r="R2" s="73"/>
      <c r="S2" s="73"/>
      <c r="T2" s="73"/>
      <c r="U2" s="73"/>
      <c r="V2" s="73"/>
      <c r="W2" s="73"/>
      <c r="X2" s="73"/>
      <c r="Y2" s="73"/>
      <c r="Z2" s="73"/>
      <c r="AA2" s="73"/>
      <c r="AB2" s="73"/>
      <c r="AC2" s="73"/>
    </row>
    <row r="3">
      <c r="A3" s="81" t="s">
        <v>252</v>
      </c>
      <c r="B3" s="4"/>
      <c r="C3" s="4"/>
      <c r="D3" s="4"/>
      <c r="E3" s="4"/>
      <c r="F3" s="4"/>
      <c r="G3" s="8"/>
      <c r="H3" s="82"/>
      <c r="I3" s="84" t="s">
        <v>255</v>
      </c>
      <c r="J3" s="84" t="s">
        <v>256</v>
      </c>
      <c r="K3" s="84" t="s">
        <v>258</v>
      </c>
      <c r="L3" s="85" t="s">
        <v>259</v>
      </c>
      <c r="M3" s="85" t="s">
        <v>260</v>
      </c>
      <c r="N3" s="85" t="s">
        <v>261</v>
      </c>
      <c r="O3" s="73"/>
      <c r="P3" s="73"/>
      <c r="Q3" s="73"/>
      <c r="R3" s="73"/>
      <c r="S3" s="73"/>
      <c r="T3" s="73"/>
      <c r="U3" s="73"/>
      <c r="V3" s="73"/>
      <c r="W3" s="73"/>
      <c r="X3" s="73"/>
      <c r="Y3" s="73"/>
      <c r="Z3" s="73"/>
      <c r="AA3" s="73"/>
      <c r="AB3" s="73"/>
      <c r="AC3" s="73"/>
    </row>
    <row r="4">
      <c r="A4" s="33" t="s">
        <v>262</v>
      </c>
      <c r="B4" s="86" t="s">
        <v>264</v>
      </c>
      <c r="C4" s="86">
        <v>1.0</v>
      </c>
      <c r="D4" s="87">
        <v>5000000.0</v>
      </c>
      <c r="E4" s="87">
        <f t="shared" ref="E4:E9" si="1">C4*D4</f>
        <v>5000000</v>
      </c>
      <c r="F4" s="87">
        <f t="shared" ref="F4:F9" si="2">C4*D4*12</f>
        <v>60000000</v>
      </c>
      <c r="G4" s="89" t="s">
        <v>265</v>
      </c>
      <c r="H4" s="90"/>
      <c r="I4" s="38"/>
      <c r="J4" s="38"/>
      <c r="K4" s="38"/>
      <c r="L4" s="38"/>
      <c r="M4" s="38"/>
      <c r="N4" s="38"/>
      <c r="O4" s="73"/>
      <c r="P4" s="73"/>
      <c r="Q4" s="92" t="s">
        <v>267</v>
      </c>
      <c r="V4" s="93"/>
      <c r="W4" s="93"/>
      <c r="X4" s="73"/>
      <c r="Y4" s="73"/>
      <c r="Z4" s="73"/>
      <c r="AA4" s="73"/>
      <c r="AB4" s="73"/>
      <c r="AC4" s="73"/>
    </row>
    <row r="5">
      <c r="A5" s="33" t="s">
        <v>269</v>
      </c>
      <c r="B5" s="86" t="s">
        <v>264</v>
      </c>
      <c r="C5" s="86">
        <v>1.0</v>
      </c>
      <c r="D5" s="87">
        <v>2500000.0</v>
      </c>
      <c r="E5" s="87">
        <f t="shared" si="1"/>
        <v>2500000</v>
      </c>
      <c r="F5" s="87">
        <f t="shared" si="2"/>
        <v>30000000</v>
      </c>
      <c r="G5" s="89" t="s">
        <v>272</v>
      </c>
      <c r="I5" s="95" t="s">
        <v>274</v>
      </c>
      <c r="J5" s="96">
        <v>2.0</v>
      </c>
      <c r="K5" s="97">
        <v>1.3E7</v>
      </c>
      <c r="L5" s="98">
        <f t="shared" ref="L5:L10" si="3">K5*J5</f>
        <v>26000000</v>
      </c>
      <c r="M5" s="102">
        <f t="shared" ref="M5:M10" si="4">K5*21.5%</f>
        <v>2795000</v>
      </c>
      <c r="N5" s="103">
        <f t="shared" ref="N5:N10" si="5">L5+M5</f>
        <v>28795000</v>
      </c>
      <c r="O5" s="88" t="s">
        <v>282</v>
      </c>
      <c r="P5" s="105"/>
      <c r="Q5" s="106" t="s">
        <v>284</v>
      </c>
      <c r="R5" s="107" t="s">
        <v>286</v>
      </c>
      <c r="S5" s="109" t="s">
        <v>288</v>
      </c>
      <c r="T5" s="4"/>
      <c r="U5" s="8"/>
      <c r="V5" s="93"/>
      <c r="W5" s="93"/>
      <c r="X5" s="73"/>
      <c r="Y5" s="73"/>
      <c r="Z5" s="73"/>
      <c r="AA5" s="73"/>
      <c r="AB5" s="73"/>
      <c r="AC5" s="73"/>
    </row>
    <row r="6">
      <c r="A6" s="33" t="s">
        <v>290</v>
      </c>
      <c r="B6" s="86" t="s">
        <v>264</v>
      </c>
      <c r="C6" s="86">
        <v>1.0</v>
      </c>
      <c r="D6" s="87">
        <v>3500000.0</v>
      </c>
      <c r="E6" s="87">
        <f t="shared" si="1"/>
        <v>3500000</v>
      </c>
      <c r="F6" s="87">
        <f t="shared" si="2"/>
        <v>42000000</v>
      </c>
      <c r="G6" s="89" t="s">
        <v>293</v>
      </c>
      <c r="I6" s="95" t="s">
        <v>294</v>
      </c>
      <c r="J6" s="96">
        <v>2.0</v>
      </c>
      <c r="K6" s="97">
        <v>1.0E7</v>
      </c>
      <c r="L6" s="98">
        <f t="shared" si="3"/>
        <v>20000000</v>
      </c>
      <c r="M6" s="102">
        <f t="shared" si="4"/>
        <v>2150000</v>
      </c>
      <c r="N6" s="103">
        <f t="shared" si="5"/>
        <v>22150000</v>
      </c>
      <c r="O6" s="73"/>
      <c r="P6" s="73"/>
      <c r="Q6" s="110">
        <v>2026.0</v>
      </c>
      <c r="R6" s="111">
        <v>0.35</v>
      </c>
      <c r="S6" s="112" t="s">
        <v>299</v>
      </c>
      <c r="T6" s="4"/>
      <c r="U6" s="8"/>
      <c r="V6" s="93"/>
      <c r="W6" s="93"/>
      <c r="X6" s="73"/>
      <c r="Y6" s="73"/>
      <c r="Z6" s="73"/>
      <c r="AA6" s="73"/>
      <c r="AB6" s="73"/>
      <c r="AC6" s="73"/>
    </row>
    <row r="7">
      <c r="A7" s="33" t="s">
        <v>301</v>
      </c>
      <c r="B7" s="86" t="s">
        <v>264</v>
      </c>
      <c r="C7" s="86">
        <v>1.0</v>
      </c>
      <c r="D7" s="87">
        <v>1200000.0</v>
      </c>
      <c r="E7" s="87">
        <f t="shared" si="1"/>
        <v>1200000</v>
      </c>
      <c r="F7" s="87">
        <f t="shared" si="2"/>
        <v>14400000</v>
      </c>
      <c r="G7" s="89" t="s">
        <v>304</v>
      </c>
      <c r="I7" s="95" t="s">
        <v>305</v>
      </c>
      <c r="J7" s="96">
        <v>1.0</v>
      </c>
      <c r="K7" s="97">
        <v>8000000.0</v>
      </c>
      <c r="L7" s="98">
        <f t="shared" si="3"/>
        <v>8000000</v>
      </c>
      <c r="M7" s="102">
        <f t="shared" si="4"/>
        <v>1720000</v>
      </c>
      <c r="N7" s="103">
        <f t="shared" si="5"/>
        <v>9720000</v>
      </c>
      <c r="O7" s="73"/>
      <c r="P7" s="73"/>
      <c r="Q7" s="110">
        <v>2027.0</v>
      </c>
      <c r="R7" s="111">
        <v>0.45</v>
      </c>
      <c r="S7" s="112" t="s">
        <v>307</v>
      </c>
      <c r="T7" s="4"/>
      <c r="U7" s="8"/>
      <c r="V7" s="93"/>
      <c r="W7" s="93"/>
      <c r="X7" s="73"/>
      <c r="Y7" s="73"/>
      <c r="Z7" s="73"/>
      <c r="AA7" s="73"/>
      <c r="AB7" s="73"/>
      <c r="AC7" s="73"/>
    </row>
    <row r="8">
      <c r="A8" s="33" t="s">
        <v>308</v>
      </c>
      <c r="B8" s="86" t="s">
        <v>264</v>
      </c>
      <c r="C8" s="86">
        <v>1.0</v>
      </c>
      <c r="D8" s="87">
        <v>800000.0</v>
      </c>
      <c r="E8" s="87">
        <f t="shared" si="1"/>
        <v>800000</v>
      </c>
      <c r="F8" s="87">
        <f t="shared" si="2"/>
        <v>9600000</v>
      </c>
      <c r="G8" s="89" t="s">
        <v>309</v>
      </c>
      <c r="I8" s="95" t="s">
        <v>310</v>
      </c>
      <c r="J8" s="96">
        <v>3.0</v>
      </c>
      <c r="K8" s="97">
        <v>1.0E7</v>
      </c>
      <c r="L8" s="98">
        <f t="shared" si="3"/>
        <v>30000000</v>
      </c>
      <c r="M8" s="102">
        <f t="shared" si="4"/>
        <v>2150000</v>
      </c>
      <c r="N8" s="103">
        <f t="shared" si="5"/>
        <v>32150000</v>
      </c>
      <c r="O8" s="73"/>
      <c r="P8" s="73"/>
      <c r="Q8" s="93"/>
      <c r="R8" s="115"/>
      <c r="S8" s="93"/>
      <c r="T8" s="93"/>
      <c r="U8" s="93"/>
      <c r="V8" s="93"/>
      <c r="W8" s="93"/>
      <c r="X8" s="73"/>
      <c r="Y8" s="73"/>
      <c r="Z8" s="73"/>
      <c r="AA8" s="73"/>
      <c r="AB8" s="73"/>
      <c r="AC8" s="73"/>
    </row>
    <row r="9">
      <c r="A9" s="33" t="s">
        <v>311</v>
      </c>
      <c r="B9" s="86" t="s">
        <v>264</v>
      </c>
      <c r="C9" s="86">
        <v>1.0</v>
      </c>
      <c r="D9" s="87">
        <v>1000000.0</v>
      </c>
      <c r="E9" s="87">
        <f t="shared" si="1"/>
        <v>1000000</v>
      </c>
      <c r="F9" s="87">
        <f t="shared" si="2"/>
        <v>12000000</v>
      </c>
      <c r="G9" s="89" t="s">
        <v>312</v>
      </c>
      <c r="I9" s="95" t="s">
        <v>313</v>
      </c>
      <c r="J9" s="96">
        <v>1.0</v>
      </c>
      <c r="K9" s="97">
        <v>1.0E7</v>
      </c>
      <c r="L9" s="98">
        <f t="shared" si="3"/>
        <v>10000000</v>
      </c>
      <c r="M9" s="102">
        <f t="shared" si="4"/>
        <v>2150000</v>
      </c>
      <c r="N9" s="103">
        <f t="shared" si="5"/>
        <v>12150000</v>
      </c>
      <c r="O9" s="73"/>
      <c r="P9" s="73"/>
      <c r="Q9" s="92" t="s">
        <v>314</v>
      </c>
      <c r="V9" s="93"/>
      <c r="W9" s="93"/>
      <c r="X9" s="73"/>
      <c r="Y9" s="73"/>
      <c r="Z9" s="73"/>
      <c r="AA9" s="73"/>
      <c r="AB9" s="73"/>
      <c r="AC9" s="73"/>
    </row>
    <row r="10">
      <c r="A10" s="117" t="s">
        <v>315</v>
      </c>
      <c r="B10" s="118"/>
      <c r="C10" s="118"/>
      <c r="D10" s="118"/>
      <c r="E10" s="87"/>
      <c r="F10" s="118"/>
      <c r="G10" s="119"/>
      <c r="H10" s="120"/>
      <c r="I10" s="95" t="s">
        <v>316</v>
      </c>
      <c r="J10" s="96">
        <v>1.0</v>
      </c>
      <c r="K10" s="97">
        <v>1.0E7</v>
      </c>
      <c r="L10" s="98">
        <f t="shared" si="3"/>
        <v>10000000</v>
      </c>
      <c r="M10" s="102">
        <f t="shared" si="4"/>
        <v>2150000</v>
      </c>
      <c r="N10" s="103">
        <f t="shared" si="5"/>
        <v>12150000</v>
      </c>
      <c r="O10" s="73"/>
      <c r="P10" s="73"/>
      <c r="Q10" s="121" t="s">
        <v>98</v>
      </c>
      <c r="R10" s="121" t="s">
        <v>317</v>
      </c>
      <c r="S10" s="121" t="s">
        <v>318</v>
      </c>
      <c r="T10" s="121" t="s">
        <v>319</v>
      </c>
      <c r="U10" s="93"/>
      <c r="V10" s="93"/>
      <c r="W10" s="93"/>
      <c r="X10" s="73"/>
      <c r="Y10" s="73"/>
      <c r="Z10" s="73"/>
      <c r="AA10" s="73"/>
      <c r="AB10" s="73"/>
      <c r="AC10" s="73"/>
    </row>
    <row r="11">
      <c r="A11" s="33" t="s">
        <v>320</v>
      </c>
      <c r="B11" s="122" t="s">
        <v>321</v>
      </c>
      <c r="C11" s="96">
        <v>2.0</v>
      </c>
      <c r="D11" s="97">
        <v>1.3E7</v>
      </c>
      <c r="E11" s="87">
        <f t="shared" ref="E11:E16" si="7">C11*D11</f>
        <v>26000000</v>
      </c>
      <c r="F11" s="102">
        <f t="shared" ref="F11:F16" si="8">N5</f>
        <v>28795000</v>
      </c>
      <c r="G11" s="123" t="s">
        <v>322</v>
      </c>
      <c r="H11" s="73"/>
      <c r="I11" s="74" t="s">
        <v>323</v>
      </c>
      <c r="J11" s="74">
        <f>sum(J5:J10)</f>
        <v>10</v>
      </c>
      <c r="K11" s="124">
        <f t="shared" ref="K11:L11" si="6">SUM(K5:K10)</f>
        <v>61000000</v>
      </c>
      <c r="L11" s="124">
        <f t="shared" si="6"/>
        <v>104000000</v>
      </c>
      <c r="M11" s="124">
        <f>M5*2+K6*J6+sum(M8:M10)</f>
        <v>32040000</v>
      </c>
      <c r="N11" s="124">
        <f>SUM(N5:N10)</f>
        <v>117115000</v>
      </c>
      <c r="O11" s="73"/>
      <c r="P11" s="73"/>
      <c r="Q11" s="125" t="s">
        <v>252</v>
      </c>
      <c r="R11" s="126">
        <v>0.35</v>
      </c>
      <c r="S11" s="126">
        <v>0.3</v>
      </c>
      <c r="T11" s="126">
        <v>0.4</v>
      </c>
      <c r="U11" s="93"/>
      <c r="V11" s="93"/>
      <c r="W11" s="93"/>
      <c r="X11" s="73"/>
      <c r="Y11" s="73"/>
      <c r="Z11" s="73"/>
      <c r="AA11" s="73"/>
      <c r="AB11" s="73"/>
      <c r="AC11" s="73"/>
    </row>
    <row r="12">
      <c r="A12" s="33" t="s">
        <v>324</v>
      </c>
      <c r="B12" s="122" t="s">
        <v>321</v>
      </c>
      <c r="C12" s="96">
        <v>2.0</v>
      </c>
      <c r="D12" s="97">
        <v>1.0E7</v>
      </c>
      <c r="E12" s="87">
        <f t="shared" si="7"/>
        <v>20000000</v>
      </c>
      <c r="F12" s="102">
        <f t="shared" si="8"/>
        <v>22150000</v>
      </c>
      <c r="G12" s="22"/>
      <c r="H12" s="73"/>
      <c r="I12" s="73"/>
      <c r="J12" s="73"/>
      <c r="K12" s="73"/>
      <c r="L12" s="73"/>
      <c r="M12" s="73"/>
      <c r="N12" s="73"/>
      <c r="O12" s="73"/>
      <c r="P12" s="73"/>
      <c r="Q12" s="125" t="s">
        <v>315</v>
      </c>
      <c r="R12" s="126">
        <v>0.45</v>
      </c>
      <c r="S12" s="126">
        <v>0.3</v>
      </c>
      <c r="T12" s="126">
        <v>0.4</v>
      </c>
      <c r="U12" s="93"/>
      <c r="V12" s="93"/>
      <c r="W12" s="93"/>
      <c r="X12" s="73"/>
      <c r="Y12" s="73"/>
      <c r="Z12" s="73"/>
      <c r="AA12" s="73"/>
      <c r="AB12" s="73"/>
      <c r="AC12" s="73"/>
    </row>
    <row r="13">
      <c r="A13" s="33" t="s">
        <v>325</v>
      </c>
      <c r="B13" s="122" t="s">
        <v>321</v>
      </c>
      <c r="C13" s="96">
        <v>1.0</v>
      </c>
      <c r="D13" s="97">
        <v>8000000.0</v>
      </c>
      <c r="E13" s="87">
        <f t="shared" si="7"/>
        <v>8000000</v>
      </c>
      <c r="F13" s="102">
        <f t="shared" si="8"/>
        <v>9720000</v>
      </c>
      <c r="G13" s="22"/>
      <c r="H13" s="73"/>
      <c r="I13" s="73"/>
      <c r="J13" s="73"/>
      <c r="K13" s="73"/>
      <c r="L13" s="73"/>
      <c r="M13" s="73"/>
      <c r="N13" s="73"/>
      <c r="O13" s="73"/>
      <c r="P13" s="73"/>
      <c r="Q13" s="125" t="s">
        <v>326</v>
      </c>
      <c r="R13" s="126">
        <v>0.25</v>
      </c>
      <c r="S13" s="126">
        <v>0.25</v>
      </c>
      <c r="T13" s="126">
        <v>0.35</v>
      </c>
      <c r="U13" s="93"/>
      <c r="V13" s="93"/>
      <c r="W13" s="93"/>
      <c r="X13" s="73"/>
      <c r="Y13" s="73"/>
      <c r="Z13" s="73"/>
      <c r="AA13" s="73"/>
      <c r="AB13" s="73"/>
      <c r="AC13" s="73"/>
    </row>
    <row r="14">
      <c r="A14" s="33" t="s">
        <v>327</v>
      </c>
      <c r="B14" s="122" t="s">
        <v>321</v>
      </c>
      <c r="C14" s="96">
        <v>3.0</v>
      </c>
      <c r="D14" s="97">
        <v>1.0E7</v>
      </c>
      <c r="E14" s="87">
        <f t="shared" si="7"/>
        <v>30000000</v>
      </c>
      <c r="F14" s="102">
        <f t="shared" si="8"/>
        <v>32150000</v>
      </c>
      <c r="G14" s="22"/>
      <c r="H14" s="73"/>
      <c r="I14" s="73"/>
      <c r="J14" s="73"/>
      <c r="K14" s="73"/>
      <c r="L14" s="73"/>
      <c r="M14" s="73"/>
      <c r="N14" s="73"/>
      <c r="O14" s="73"/>
      <c r="P14" s="73"/>
      <c r="Q14" s="125" t="s">
        <v>328</v>
      </c>
      <c r="R14" s="126">
        <v>0.6</v>
      </c>
      <c r="S14" s="126">
        <v>0.3</v>
      </c>
      <c r="T14" s="126">
        <v>0.5</v>
      </c>
      <c r="U14" s="93"/>
      <c r="V14" s="93"/>
      <c r="W14" s="93"/>
      <c r="X14" s="73"/>
      <c r="Y14" s="73"/>
      <c r="Z14" s="73"/>
      <c r="AA14" s="73"/>
      <c r="AB14" s="73"/>
      <c r="AC14" s="73"/>
    </row>
    <row r="15">
      <c r="A15" s="33" t="s">
        <v>313</v>
      </c>
      <c r="B15" s="122" t="s">
        <v>321</v>
      </c>
      <c r="C15" s="96">
        <v>1.0</v>
      </c>
      <c r="D15" s="97">
        <v>1.0E7</v>
      </c>
      <c r="E15" s="87">
        <f t="shared" si="7"/>
        <v>10000000</v>
      </c>
      <c r="F15" s="102">
        <f t="shared" si="8"/>
        <v>12150000</v>
      </c>
      <c r="G15" s="22"/>
      <c r="H15" s="73"/>
      <c r="I15" s="73"/>
      <c r="J15" s="73"/>
      <c r="K15" s="73"/>
      <c r="L15" s="73"/>
      <c r="M15" s="73"/>
      <c r="N15" s="73"/>
      <c r="O15" s="73"/>
      <c r="P15" s="73"/>
      <c r="Q15" s="125" t="s">
        <v>329</v>
      </c>
      <c r="R15" s="126">
        <v>0.5</v>
      </c>
      <c r="S15" s="126">
        <v>0.2</v>
      </c>
      <c r="T15" s="126">
        <v>0.3</v>
      </c>
      <c r="U15" s="93"/>
      <c r="V15" s="93"/>
      <c r="W15" s="93"/>
      <c r="X15" s="73"/>
      <c r="Y15" s="73"/>
      <c r="Z15" s="73"/>
      <c r="AA15" s="73"/>
      <c r="AB15" s="73"/>
      <c r="AC15" s="73"/>
    </row>
    <row r="16">
      <c r="A16" s="95" t="s">
        <v>316</v>
      </c>
      <c r="B16" s="122" t="s">
        <v>321</v>
      </c>
      <c r="C16" s="96">
        <v>1.0</v>
      </c>
      <c r="D16" s="97">
        <v>1.0E7</v>
      </c>
      <c r="E16" s="87">
        <f t="shared" si="7"/>
        <v>10000000</v>
      </c>
      <c r="F16" s="102">
        <f t="shared" si="8"/>
        <v>12150000</v>
      </c>
      <c r="G16" s="38"/>
      <c r="H16" s="73"/>
      <c r="I16" s="73"/>
      <c r="J16" s="73"/>
      <c r="K16" s="73"/>
      <c r="L16" s="73"/>
      <c r="M16" s="73"/>
      <c r="N16" s="73"/>
      <c r="O16" s="73"/>
      <c r="P16" s="73"/>
      <c r="Q16" s="125" t="s">
        <v>330</v>
      </c>
      <c r="R16" s="126">
        <v>0.4</v>
      </c>
      <c r="S16" s="126">
        <v>0.3</v>
      </c>
      <c r="T16" s="126">
        <v>0.4</v>
      </c>
      <c r="U16" s="93"/>
      <c r="V16" s="93"/>
      <c r="W16" s="93"/>
      <c r="X16" s="73"/>
      <c r="Y16" s="73"/>
      <c r="Z16" s="73"/>
      <c r="AA16" s="73"/>
      <c r="AB16" s="73"/>
      <c r="AC16" s="73"/>
    </row>
    <row r="17">
      <c r="A17" s="117" t="s">
        <v>326</v>
      </c>
      <c r="B17" s="4"/>
      <c r="C17" s="4"/>
      <c r="D17" s="4"/>
      <c r="E17" s="4"/>
      <c r="F17" s="4"/>
      <c r="G17" s="8"/>
      <c r="H17" s="73"/>
      <c r="I17" s="73"/>
      <c r="J17" s="73"/>
      <c r="K17" s="73"/>
      <c r="L17" s="73"/>
      <c r="M17" s="73"/>
      <c r="N17" s="73"/>
      <c r="O17" s="73"/>
      <c r="P17" s="73"/>
      <c r="Q17" s="93"/>
      <c r="R17" s="115"/>
      <c r="S17" s="93"/>
      <c r="T17" s="93"/>
      <c r="U17" s="93"/>
      <c r="V17" s="93"/>
      <c r="W17" s="93"/>
      <c r="X17" s="73"/>
      <c r="Y17" s="73"/>
      <c r="Z17" s="73"/>
      <c r="AA17" s="73"/>
      <c r="AB17" s="73"/>
      <c r="AC17" s="73"/>
    </row>
    <row r="18">
      <c r="A18" s="33" t="s">
        <v>331</v>
      </c>
      <c r="B18" s="86" t="s">
        <v>264</v>
      </c>
      <c r="C18" s="86">
        <v>1.0</v>
      </c>
      <c r="D18" s="127">
        <v>2500000.0</v>
      </c>
      <c r="E18" s="87">
        <f t="shared" ref="E18:E21" si="9">C18*D18</f>
        <v>2500000</v>
      </c>
      <c r="F18" s="87">
        <f t="shared" ref="F18:F21" si="10">C18*D18*12</f>
        <v>30000000</v>
      </c>
      <c r="G18" s="89" t="s">
        <v>332</v>
      </c>
      <c r="H18" s="90"/>
      <c r="I18" s="73"/>
      <c r="J18" s="73"/>
      <c r="K18" s="73"/>
      <c r="L18" s="73"/>
      <c r="M18" s="73"/>
      <c r="N18" s="73"/>
      <c r="O18" s="73"/>
      <c r="P18" s="73"/>
      <c r="Q18" s="128" t="s">
        <v>333</v>
      </c>
      <c r="X18" s="73"/>
      <c r="Y18" s="73"/>
      <c r="Z18" s="73"/>
      <c r="AA18" s="73"/>
      <c r="AB18" s="73"/>
      <c r="AC18" s="73"/>
    </row>
    <row r="19">
      <c r="A19" s="33" t="s">
        <v>334</v>
      </c>
      <c r="B19" s="86" t="s">
        <v>264</v>
      </c>
      <c r="C19" s="86">
        <v>1.0</v>
      </c>
      <c r="D19" s="127">
        <v>1500000.0</v>
      </c>
      <c r="E19" s="87">
        <f t="shared" si="9"/>
        <v>1500000</v>
      </c>
      <c r="F19" s="87">
        <f t="shared" si="10"/>
        <v>18000000</v>
      </c>
      <c r="G19" s="89" t="s">
        <v>335</v>
      </c>
      <c r="I19" s="73"/>
      <c r="J19" s="73"/>
      <c r="K19" s="73"/>
      <c r="L19" s="73"/>
      <c r="M19" s="73"/>
      <c r="N19" s="73"/>
      <c r="O19" s="73"/>
      <c r="P19" s="73"/>
      <c r="Q19" s="129" t="s">
        <v>98</v>
      </c>
      <c r="R19" s="121" t="s">
        <v>336</v>
      </c>
      <c r="S19" s="121" t="s">
        <v>163</v>
      </c>
      <c r="T19" s="121" t="s">
        <v>164</v>
      </c>
      <c r="U19" s="121" t="s">
        <v>165</v>
      </c>
      <c r="V19" s="121" t="s">
        <v>166</v>
      </c>
      <c r="W19" s="121" t="s">
        <v>167</v>
      </c>
      <c r="X19" s="73"/>
      <c r="Y19" s="73"/>
      <c r="Z19" s="73"/>
      <c r="AA19" s="73"/>
      <c r="AB19" s="73"/>
      <c r="AC19" s="73"/>
    </row>
    <row r="20">
      <c r="A20" s="33" t="s">
        <v>337</v>
      </c>
      <c r="B20" s="86" t="s">
        <v>264</v>
      </c>
      <c r="C20" s="86">
        <v>1.0</v>
      </c>
      <c r="D20" s="127">
        <v>2000000.0</v>
      </c>
      <c r="E20" s="87">
        <f t="shared" si="9"/>
        <v>2000000</v>
      </c>
      <c r="F20" s="87">
        <f t="shared" si="10"/>
        <v>24000000</v>
      </c>
      <c r="G20" s="89" t="s">
        <v>338</v>
      </c>
      <c r="I20" s="73"/>
      <c r="J20" s="73"/>
      <c r="K20" s="73"/>
      <c r="L20" s="73"/>
      <c r="M20" s="73"/>
      <c r="N20" s="73"/>
      <c r="O20" s="73"/>
      <c r="P20" s="73"/>
      <c r="Q20" s="130" t="s">
        <v>252</v>
      </c>
      <c r="R20" s="131">
        <v>2.646E7</v>
      </c>
      <c r="S20" s="131">
        <v>7.56E7</v>
      </c>
      <c r="T20" s="131">
        <v>1.68E8</v>
      </c>
      <c r="U20" s="131">
        <v>2.268E8</v>
      </c>
      <c r="V20" s="131">
        <v>2.9484E8</v>
      </c>
      <c r="W20" s="131">
        <v>4.12776E8</v>
      </c>
      <c r="X20" s="73"/>
      <c r="Y20" s="73"/>
      <c r="Z20" s="73"/>
      <c r="AA20" s="73"/>
      <c r="AB20" s="73"/>
      <c r="AC20" s="73"/>
    </row>
    <row r="21">
      <c r="A21" s="33" t="s">
        <v>339</v>
      </c>
      <c r="B21" s="86" t="s">
        <v>264</v>
      </c>
      <c r="C21" s="86">
        <v>1.0</v>
      </c>
      <c r="D21" s="127">
        <v>3000000.0</v>
      </c>
      <c r="E21" s="87">
        <f t="shared" si="9"/>
        <v>3000000</v>
      </c>
      <c r="F21" s="87">
        <f t="shared" si="10"/>
        <v>36000000</v>
      </c>
      <c r="G21" s="89" t="s">
        <v>340</v>
      </c>
      <c r="I21" s="73"/>
      <c r="J21" s="73"/>
      <c r="K21" s="73"/>
      <c r="L21" s="73"/>
      <c r="M21" s="73"/>
      <c r="N21" s="73"/>
      <c r="O21" s="73"/>
      <c r="P21" s="73"/>
      <c r="Q21" s="130" t="s">
        <v>315</v>
      </c>
      <c r="R21" s="131">
        <v>1.8445613E7</v>
      </c>
      <c r="S21" s="131">
        <v>5.270175E7</v>
      </c>
      <c r="T21" s="131">
        <v>1.17115E8</v>
      </c>
      <c r="U21" s="131">
        <v>1.6981675E8</v>
      </c>
      <c r="V21" s="131">
        <v>2.20761775E8</v>
      </c>
      <c r="W21" s="131">
        <v>3.09066485E8</v>
      </c>
      <c r="X21" s="73"/>
      <c r="Y21" s="73"/>
      <c r="Z21" s="73"/>
      <c r="AA21" s="73"/>
      <c r="AB21" s="73"/>
      <c r="AC21" s="73"/>
    </row>
    <row r="22">
      <c r="A22" s="117" t="s">
        <v>328</v>
      </c>
      <c r="B22" s="4"/>
      <c r="C22" s="4"/>
      <c r="D22" s="4"/>
      <c r="E22" s="4"/>
      <c r="F22" s="4"/>
      <c r="G22" s="8"/>
      <c r="H22" s="120"/>
      <c r="I22" s="73"/>
      <c r="J22" s="73"/>
      <c r="K22" s="73"/>
      <c r="L22" s="73"/>
      <c r="M22" s="73"/>
      <c r="N22" s="73"/>
      <c r="O22" s="73"/>
      <c r="P22" s="73"/>
      <c r="Q22" s="130" t="s">
        <v>326</v>
      </c>
      <c r="R22" s="131">
        <v>1.701E7</v>
      </c>
      <c r="S22" s="131">
        <v>4.86E7</v>
      </c>
      <c r="T22" s="131">
        <v>1.08E8</v>
      </c>
      <c r="U22" s="131">
        <v>1.35E8</v>
      </c>
      <c r="V22" s="131">
        <v>1.6875E8</v>
      </c>
      <c r="W22" s="131">
        <v>2.278125E8</v>
      </c>
      <c r="X22" s="73"/>
      <c r="Y22" s="73"/>
      <c r="Z22" s="73"/>
      <c r="AA22" s="73"/>
      <c r="AB22" s="73"/>
      <c r="AC22" s="73"/>
    </row>
    <row r="23">
      <c r="A23" s="33" t="s">
        <v>341</v>
      </c>
      <c r="B23" s="86" t="s">
        <v>264</v>
      </c>
      <c r="C23" s="86">
        <v>1.0</v>
      </c>
      <c r="D23" s="127">
        <v>4000000.0</v>
      </c>
      <c r="E23" s="87">
        <f t="shared" ref="E23:E26" si="11">C23*D23</f>
        <v>4000000</v>
      </c>
      <c r="F23" s="87">
        <f t="shared" ref="F23:F26" si="12">C23*D23*12</f>
        <v>48000000</v>
      </c>
      <c r="G23" s="89" t="s">
        <v>342</v>
      </c>
      <c r="H23" s="90"/>
      <c r="I23" s="73"/>
      <c r="J23" s="73"/>
      <c r="K23" s="73"/>
      <c r="L23" s="73"/>
      <c r="M23" s="73"/>
      <c r="N23" s="73"/>
      <c r="O23" s="73"/>
      <c r="P23" s="73"/>
      <c r="Q23" s="130" t="s">
        <v>328</v>
      </c>
      <c r="R23" s="131">
        <v>1.9278E7</v>
      </c>
      <c r="S23" s="131">
        <v>5.508E7</v>
      </c>
      <c r="T23" s="131">
        <v>1.224E8</v>
      </c>
      <c r="U23" s="131">
        <v>1.9584E8</v>
      </c>
      <c r="V23" s="131">
        <v>2.54592E8</v>
      </c>
      <c r="W23" s="131">
        <v>3.81888E8</v>
      </c>
      <c r="X23" s="73"/>
      <c r="Y23" s="73"/>
      <c r="Z23" s="73"/>
      <c r="AA23" s="73"/>
      <c r="AB23" s="73"/>
      <c r="AC23" s="73"/>
    </row>
    <row r="24">
      <c r="A24" s="33" t="s">
        <v>343</v>
      </c>
      <c r="B24" s="122" t="s">
        <v>264</v>
      </c>
      <c r="C24" s="86">
        <v>1.0</v>
      </c>
      <c r="D24" s="127">
        <v>2500000.0</v>
      </c>
      <c r="E24" s="87">
        <f t="shared" si="11"/>
        <v>2500000</v>
      </c>
      <c r="F24" s="87">
        <f t="shared" si="12"/>
        <v>30000000</v>
      </c>
      <c r="G24" s="89" t="s">
        <v>344</v>
      </c>
      <c r="I24" s="73"/>
      <c r="J24" s="73"/>
      <c r="K24" s="73"/>
      <c r="L24" s="73"/>
      <c r="M24" s="73"/>
      <c r="N24" s="73"/>
      <c r="O24" s="73"/>
      <c r="P24" s="73"/>
      <c r="Q24" s="130" t="s">
        <v>329</v>
      </c>
      <c r="R24" s="131">
        <v>3.149307E7</v>
      </c>
      <c r="S24" s="131">
        <v>8.99802E7</v>
      </c>
      <c r="T24" s="131">
        <v>1.99956E8</v>
      </c>
      <c r="U24" s="131">
        <v>2.99934E8</v>
      </c>
      <c r="V24" s="131">
        <v>3.599208E8</v>
      </c>
      <c r="W24" s="131">
        <v>4.6789704E8</v>
      </c>
      <c r="X24" s="73"/>
      <c r="Y24" s="73"/>
      <c r="Z24" s="73"/>
      <c r="AA24" s="73"/>
      <c r="AB24" s="73"/>
      <c r="AC24" s="73"/>
    </row>
    <row r="25">
      <c r="A25" s="33" t="s">
        <v>345</v>
      </c>
      <c r="B25" s="86" t="s">
        <v>264</v>
      </c>
      <c r="C25" s="86">
        <v>1.0</v>
      </c>
      <c r="D25" s="127">
        <v>2500000.0</v>
      </c>
      <c r="E25" s="87">
        <f t="shared" si="11"/>
        <v>2500000</v>
      </c>
      <c r="F25" s="87">
        <f t="shared" si="12"/>
        <v>30000000</v>
      </c>
      <c r="G25" s="89" t="s">
        <v>346</v>
      </c>
      <c r="I25" s="73"/>
      <c r="J25" s="73"/>
      <c r="K25" s="73"/>
      <c r="L25" s="73"/>
      <c r="M25" s="73"/>
      <c r="N25" s="73"/>
      <c r="O25" s="73"/>
      <c r="P25" s="73"/>
      <c r="Q25" s="130" t="s">
        <v>330</v>
      </c>
      <c r="R25" s="131">
        <v>6615000.0</v>
      </c>
      <c r="S25" s="131">
        <v>1.89E7</v>
      </c>
      <c r="T25" s="131">
        <v>4.2E7</v>
      </c>
      <c r="U25" s="131">
        <v>5.88E7</v>
      </c>
      <c r="V25" s="131">
        <v>7.644E7</v>
      </c>
      <c r="W25" s="131">
        <v>1.07016E8</v>
      </c>
      <c r="X25" s="73"/>
      <c r="Y25" s="73"/>
      <c r="Z25" s="73"/>
      <c r="AA25" s="73"/>
      <c r="AB25" s="73"/>
      <c r="AC25" s="73"/>
    </row>
    <row r="26">
      <c r="A26" s="33" t="s">
        <v>347</v>
      </c>
      <c r="B26" s="86" t="s">
        <v>264</v>
      </c>
      <c r="C26" s="86">
        <v>1.0</v>
      </c>
      <c r="D26" s="127">
        <v>1200000.0</v>
      </c>
      <c r="E26" s="87">
        <f t="shared" si="11"/>
        <v>1200000</v>
      </c>
      <c r="F26" s="87">
        <f t="shared" si="12"/>
        <v>14400000</v>
      </c>
      <c r="G26" s="89" t="s">
        <v>348</v>
      </c>
      <c r="I26" s="73"/>
      <c r="J26" s="73"/>
      <c r="K26" s="73"/>
      <c r="L26" s="73"/>
      <c r="M26" s="73"/>
      <c r="N26" s="73"/>
      <c r="O26" s="73"/>
      <c r="P26" s="73"/>
      <c r="Q26" s="129" t="s">
        <v>349</v>
      </c>
      <c r="R26" s="132">
        <v>1.19301683E8</v>
      </c>
      <c r="S26" s="132">
        <v>3.4086195E8</v>
      </c>
      <c r="T26" s="132">
        <v>7.57471E8</v>
      </c>
      <c r="U26" s="132">
        <v>1.08619075E9</v>
      </c>
      <c r="V26" s="132">
        <v>1.375304575E9</v>
      </c>
      <c r="W26" s="132">
        <v>1.906456025E9</v>
      </c>
      <c r="X26" s="73"/>
      <c r="Y26" s="73"/>
      <c r="Z26" s="73"/>
      <c r="AA26" s="73"/>
      <c r="AB26" s="73"/>
      <c r="AC26" s="73"/>
    </row>
    <row r="27">
      <c r="A27" s="117" t="s">
        <v>329</v>
      </c>
      <c r="B27" s="4"/>
      <c r="C27" s="4"/>
      <c r="D27" s="4"/>
      <c r="E27" s="4"/>
      <c r="F27" s="4"/>
      <c r="G27" s="8"/>
      <c r="H27" s="120"/>
      <c r="I27" s="73"/>
      <c r="J27" s="73"/>
      <c r="K27" s="73"/>
      <c r="L27" s="73"/>
      <c r="M27" s="73"/>
      <c r="N27" s="73"/>
      <c r="O27" s="73"/>
      <c r="P27" s="73"/>
      <c r="Q27" s="130" t="s">
        <v>350</v>
      </c>
      <c r="R27" s="131">
        <v>1.1930168E7</v>
      </c>
      <c r="S27" s="131">
        <v>3.4086195E7</v>
      </c>
      <c r="T27" s="131">
        <v>1.888356E8</v>
      </c>
      <c r="U27" s="131">
        <v>1.08619075E8</v>
      </c>
      <c r="V27" s="131">
        <v>1.37530458E8</v>
      </c>
      <c r="W27" s="131">
        <v>1.90645603E8</v>
      </c>
      <c r="X27" s="73"/>
      <c r="Y27" s="73"/>
      <c r="Z27" s="73"/>
      <c r="AA27" s="73"/>
      <c r="AB27" s="73"/>
      <c r="AC27" s="73"/>
    </row>
    <row r="28">
      <c r="A28" s="133" t="s">
        <v>351</v>
      </c>
      <c r="B28" s="108" t="s">
        <v>287</v>
      </c>
      <c r="C28" s="67">
        <v>50.0</v>
      </c>
      <c r="D28" s="68">
        <v>250000.0</v>
      </c>
      <c r="E28" s="87">
        <f t="shared" ref="E28:E33" si="13">C28*D28</f>
        <v>12500000</v>
      </c>
      <c r="F28" s="87">
        <f t="shared" ref="F28:F31" si="14">C28*D28*12</f>
        <v>150000000</v>
      </c>
      <c r="G28" s="134"/>
      <c r="H28" s="73"/>
      <c r="I28" s="73"/>
      <c r="J28" s="73"/>
      <c r="K28" s="73"/>
      <c r="L28" s="73"/>
      <c r="M28" s="73"/>
      <c r="N28" s="73"/>
      <c r="O28" s="73"/>
      <c r="P28" s="73"/>
      <c r="Q28" s="135" t="s">
        <v>352</v>
      </c>
      <c r="R28" s="136">
        <v>1.31231851E8</v>
      </c>
      <c r="S28" s="136">
        <v>3.74948145E8</v>
      </c>
      <c r="T28" s="136">
        <v>9.463066E8</v>
      </c>
      <c r="U28" s="136">
        <v>1.194809825E9</v>
      </c>
      <c r="V28" s="136">
        <v>1.512835033E9</v>
      </c>
      <c r="W28" s="136">
        <v>2.097101628E9</v>
      </c>
      <c r="X28" s="73"/>
      <c r="Y28" s="73"/>
      <c r="Z28" s="73"/>
      <c r="AA28" s="73"/>
      <c r="AB28" s="73"/>
      <c r="AC28" s="73"/>
    </row>
    <row r="29">
      <c r="A29" s="33" t="s">
        <v>353</v>
      </c>
      <c r="B29" s="122" t="s">
        <v>354</v>
      </c>
      <c r="C29" s="122">
        <v>400.0</v>
      </c>
      <c r="D29" s="127">
        <v>3500.0</v>
      </c>
      <c r="E29" s="87">
        <f t="shared" si="13"/>
        <v>1400000</v>
      </c>
      <c r="F29" s="87">
        <f t="shared" si="14"/>
        <v>16800000</v>
      </c>
      <c r="G29" s="134"/>
      <c r="H29" s="73"/>
      <c r="I29" s="73"/>
      <c r="J29" s="73"/>
      <c r="K29" s="73"/>
      <c r="L29" s="73"/>
      <c r="M29" s="73"/>
      <c r="N29" s="73"/>
      <c r="O29" s="73"/>
      <c r="P29" s="73"/>
      <c r="Q29" s="73"/>
      <c r="R29" s="73"/>
      <c r="S29" s="73"/>
      <c r="T29" s="73"/>
      <c r="U29" s="73"/>
      <c r="V29" s="73"/>
      <c r="W29" s="73"/>
      <c r="X29" s="73"/>
      <c r="Y29" s="73"/>
      <c r="Z29" s="73"/>
      <c r="AA29" s="73"/>
      <c r="AB29" s="73"/>
      <c r="AC29" s="73"/>
    </row>
    <row r="30">
      <c r="A30" s="33" t="s">
        <v>355</v>
      </c>
      <c r="B30" s="122" t="s">
        <v>356</v>
      </c>
      <c r="C30" s="122">
        <v>10.0</v>
      </c>
      <c r="D30" s="127">
        <v>21300.0</v>
      </c>
      <c r="E30" s="87">
        <f t="shared" si="13"/>
        <v>213000</v>
      </c>
      <c r="F30" s="87">
        <f t="shared" si="14"/>
        <v>2556000</v>
      </c>
      <c r="G30" s="134"/>
      <c r="H30" s="73"/>
      <c r="I30" s="73"/>
      <c r="J30" s="73"/>
      <c r="K30" s="73"/>
      <c r="L30" s="73"/>
      <c r="M30" s="73"/>
      <c r="N30" s="73"/>
      <c r="O30" s="73"/>
      <c r="P30" s="73"/>
      <c r="Q30" s="73"/>
      <c r="R30" s="73"/>
      <c r="S30" s="73"/>
      <c r="T30" s="73"/>
      <c r="U30" s="73"/>
      <c r="V30" s="73"/>
      <c r="W30" s="73"/>
      <c r="X30" s="73"/>
      <c r="Y30" s="73"/>
      <c r="Z30" s="73"/>
      <c r="AA30" s="73"/>
      <c r="AB30" s="73"/>
      <c r="AC30" s="73"/>
    </row>
    <row r="31">
      <c r="A31" s="33" t="s">
        <v>357</v>
      </c>
      <c r="B31" s="122" t="s">
        <v>264</v>
      </c>
      <c r="C31" s="122">
        <v>1.0</v>
      </c>
      <c r="D31" s="127">
        <v>450000.0</v>
      </c>
      <c r="E31" s="87">
        <f t="shared" si="13"/>
        <v>450000</v>
      </c>
      <c r="F31" s="87">
        <f t="shared" si="14"/>
        <v>5400000</v>
      </c>
      <c r="G31" s="134"/>
      <c r="H31" s="73"/>
      <c r="I31" s="73"/>
      <c r="J31" s="73"/>
      <c r="K31" s="73"/>
      <c r="L31" s="73"/>
      <c r="M31" s="73"/>
      <c r="N31" s="73"/>
      <c r="O31" s="73"/>
      <c r="P31" s="73"/>
      <c r="Q31" s="73"/>
      <c r="R31" s="73"/>
      <c r="S31" s="73"/>
      <c r="T31" s="73"/>
      <c r="U31" s="73"/>
      <c r="V31" s="73"/>
      <c r="W31" s="73"/>
      <c r="X31" s="73"/>
      <c r="Y31" s="73"/>
      <c r="Z31" s="73"/>
      <c r="AA31" s="73"/>
      <c r="AB31" s="73"/>
      <c r="AC31" s="73"/>
    </row>
    <row r="32">
      <c r="A32" s="33" t="s">
        <v>358</v>
      </c>
      <c r="B32" s="86" t="s">
        <v>264</v>
      </c>
      <c r="C32" s="86">
        <v>1.0</v>
      </c>
      <c r="D32" s="137">
        <v>1500000.0</v>
      </c>
      <c r="E32" s="87">
        <f t="shared" si="13"/>
        <v>1500000</v>
      </c>
      <c r="F32" s="87">
        <f t="shared" ref="F32:F33" si="15">E32*12</f>
        <v>18000000</v>
      </c>
      <c r="G32" s="89" t="s">
        <v>359</v>
      </c>
      <c r="H32" s="73"/>
      <c r="I32" s="73"/>
      <c r="J32" s="73"/>
      <c r="K32" s="73"/>
      <c r="L32" s="73"/>
      <c r="M32" s="73"/>
      <c r="N32" s="73"/>
      <c r="O32" s="73"/>
      <c r="P32" s="73"/>
      <c r="Q32" s="73"/>
      <c r="R32" s="73"/>
      <c r="S32" s="73"/>
      <c r="T32" s="73"/>
      <c r="U32" s="73"/>
      <c r="V32" s="73"/>
      <c r="W32" s="73"/>
      <c r="X32" s="73"/>
      <c r="Y32" s="73"/>
      <c r="Z32" s="73"/>
      <c r="AA32" s="73"/>
      <c r="AB32" s="73"/>
      <c r="AC32" s="73"/>
    </row>
    <row r="33">
      <c r="A33" s="33" t="s">
        <v>360</v>
      </c>
      <c r="B33" s="86" t="s">
        <v>264</v>
      </c>
      <c r="C33" s="86">
        <v>1.0</v>
      </c>
      <c r="D33" s="137">
        <v>600000.0</v>
      </c>
      <c r="E33" s="87">
        <f t="shared" si="13"/>
        <v>600000</v>
      </c>
      <c r="F33" s="87">
        <f t="shared" si="15"/>
        <v>7200000</v>
      </c>
      <c r="G33" s="89" t="s">
        <v>361</v>
      </c>
      <c r="H33" s="73"/>
      <c r="I33" s="73"/>
      <c r="J33" s="73"/>
      <c r="K33" s="73"/>
      <c r="L33" s="73"/>
      <c r="M33" s="73"/>
      <c r="N33" s="73"/>
      <c r="O33" s="73"/>
      <c r="P33" s="73"/>
      <c r="Q33" s="73"/>
      <c r="R33" s="73"/>
      <c r="S33" s="73"/>
      <c r="T33" s="73"/>
      <c r="U33" s="73"/>
      <c r="V33" s="73"/>
      <c r="W33" s="73"/>
      <c r="X33" s="73"/>
      <c r="Y33" s="73"/>
      <c r="Z33" s="73"/>
      <c r="AA33" s="73"/>
      <c r="AB33" s="73"/>
      <c r="AC33" s="73"/>
    </row>
    <row r="34">
      <c r="A34" s="117" t="s">
        <v>330</v>
      </c>
      <c r="B34" s="4"/>
      <c r="C34" s="4"/>
      <c r="D34" s="4"/>
      <c r="E34" s="4"/>
      <c r="F34" s="4"/>
      <c r="G34" s="8"/>
      <c r="H34" s="120"/>
      <c r="I34" s="73"/>
      <c r="J34" s="73"/>
      <c r="K34" s="73"/>
      <c r="L34" s="73"/>
      <c r="M34" s="73"/>
      <c r="N34" s="73"/>
      <c r="O34" s="73"/>
      <c r="P34" s="73"/>
      <c r="Q34" s="73"/>
      <c r="R34" s="73"/>
      <c r="S34" s="73"/>
      <c r="T34" s="73"/>
      <c r="U34" s="73"/>
      <c r="V34" s="73"/>
      <c r="W34" s="73"/>
      <c r="X34" s="73"/>
      <c r="Y34" s="73"/>
      <c r="Z34" s="73"/>
      <c r="AA34" s="73"/>
      <c r="AB34" s="73"/>
      <c r="AC34" s="73"/>
    </row>
    <row r="35">
      <c r="A35" s="33" t="s">
        <v>362</v>
      </c>
      <c r="B35" s="63" t="s">
        <v>264</v>
      </c>
      <c r="C35" s="63">
        <v>1.0</v>
      </c>
      <c r="D35" s="101">
        <v>1500000.0</v>
      </c>
      <c r="E35" s="87">
        <f t="shared" ref="E35:E36" si="16">C35*D35</f>
        <v>1500000</v>
      </c>
      <c r="F35" s="64">
        <f t="shared" ref="F35:F36" si="17">C35*D35*12</f>
        <v>18000000</v>
      </c>
      <c r="G35" s="65" t="s">
        <v>363</v>
      </c>
      <c r="H35" s="73"/>
      <c r="I35" s="73"/>
      <c r="J35" s="73"/>
      <c r="K35" s="73"/>
      <c r="L35" s="73"/>
      <c r="M35" s="73"/>
      <c r="N35" s="73"/>
      <c r="O35" s="73"/>
      <c r="P35" s="73"/>
      <c r="Q35" s="73"/>
      <c r="R35" s="73"/>
      <c r="S35" s="73"/>
      <c r="T35" s="73"/>
      <c r="U35" s="73"/>
      <c r="V35" s="73"/>
      <c r="W35" s="73"/>
      <c r="X35" s="73"/>
      <c r="Y35" s="73"/>
      <c r="Z35" s="73"/>
      <c r="AA35" s="73"/>
      <c r="AB35" s="73"/>
      <c r="AC35" s="73"/>
    </row>
    <row r="36">
      <c r="A36" s="33" t="s">
        <v>364</v>
      </c>
      <c r="B36" s="63" t="s">
        <v>264</v>
      </c>
      <c r="C36" s="63">
        <v>1.0</v>
      </c>
      <c r="D36" s="101">
        <v>2000000.0</v>
      </c>
      <c r="E36" s="87">
        <f t="shared" si="16"/>
        <v>2000000</v>
      </c>
      <c r="F36" s="64">
        <f t="shared" si="17"/>
        <v>24000000</v>
      </c>
      <c r="G36" s="65" t="s">
        <v>365</v>
      </c>
      <c r="H36" s="73"/>
      <c r="I36" s="73"/>
      <c r="J36" s="73"/>
      <c r="K36" s="73"/>
      <c r="L36" s="73"/>
      <c r="M36" s="73"/>
      <c r="N36" s="73"/>
      <c r="O36" s="73"/>
      <c r="P36" s="73"/>
      <c r="Q36" s="73"/>
      <c r="R36" s="73"/>
      <c r="S36" s="73"/>
      <c r="T36" s="73"/>
      <c r="U36" s="73"/>
      <c r="V36" s="73"/>
      <c r="W36" s="73"/>
      <c r="X36" s="73"/>
      <c r="Y36" s="73"/>
      <c r="Z36" s="73"/>
      <c r="AA36" s="73"/>
      <c r="AB36" s="73"/>
      <c r="AC36" s="73"/>
    </row>
    <row r="37">
      <c r="A37" s="117" t="s">
        <v>366</v>
      </c>
      <c r="B37" s="4"/>
      <c r="C37" s="4"/>
      <c r="D37" s="8"/>
      <c r="E37" s="138">
        <f>SUM(E4:E36)</f>
        <v>157363000</v>
      </c>
      <c r="F37" s="117"/>
      <c r="G37" s="8"/>
      <c r="H37" s="73"/>
      <c r="I37" s="73"/>
      <c r="J37" s="73"/>
      <c r="K37" s="73"/>
      <c r="L37" s="73"/>
      <c r="M37" s="73"/>
      <c r="N37" s="73"/>
      <c r="O37" s="73"/>
      <c r="P37" s="73"/>
      <c r="Q37" s="73"/>
      <c r="R37" s="73"/>
      <c r="S37" s="73"/>
      <c r="T37" s="73"/>
      <c r="U37" s="73"/>
      <c r="V37" s="73"/>
      <c r="W37" s="73"/>
      <c r="X37" s="73"/>
      <c r="Y37" s="73"/>
      <c r="Z37" s="73"/>
      <c r="AA37" s="73"/>
      <c r="AB37" s="73"/>
      <c r="AC37" s="73"/>
    </row>
    <row r="38">
      <c r="A38" s="117" t="s">
        <v>350</v>
      </c>
      <c r="B38" s="4"/>
      <c r="C38" s="4"/>
      <c r="D38" s="4"/>
      <c r="E38" s="4"/>
      <c r="F38" s="4"/>
      <c r="G38" s="8"/>
      <c r="H38" s="73"/>
      <c r="I38" s="73"/>
      <c r="J38" s="73"/>
      <c r="K38" s="73"/>
      <c r="L38" s="73"/>
      <c r="M38" s="73"/>
      <c r="N38" s="73"/>
      <c r="O38" s="73"/>
      <c r="P38" s="73"/>
      <c r="Q38" s="73"/>
      <c r="R38" s="73"/>
      <c r="S38" s="73"/>
      <c r="T38" s="73"/>
      <c r="U38" s="73"/>
      <c r="V38" s="73"/>
      <c r="W38" s="73"/>
      <c r="X38" s="73"/>
      <c r="Y38" s="73"/>
      <c r="Z38" s="73"/>
      <c r="AA38" s="73"/>
      <c r="AB38" s="73"/>
      <c r="AC38" s="73"/>
    </row>
    <row r="39">
      <c r="A39" s="33" t="s">
        <v>191</v>
      </c>
      <c r="B39" s="63" t="s">
        <v>264</v>
      </c>
      <c r="C39" s="122">
        <v>1.0</v>
      </c>
      <c r="D39" s="87">
        <f>E37*10%</f>
        <v>15736300</v>
      </c>
      <c r="E39" s="87">
        <f>C39*D39</f>
        <v>15736300</v>
      </c>
      <c r="F39" s="87">
        <f>C39*D39*12</f>
        <v>188835600</v>
      </c>
      <c r="G39" s="139"/>
      <c r="H39" s="73"/>
      <c r="I39" s="73"/>
      <c r="J39" s="73"/>
      <c r="K39" s="73"/>
      <c r="L39" s="73"/>
      <c r="M39" s="73"/>
      <c r="N39" s="73"/>
      <c r="O39" s="73"/>
      <c r="P39" s="73"/>
      <c r="Q39" s="73"/>
      <c r="R39" s="73"/>
      <c r="S39" s="73"/>
      <c r="T39" s="73"/>
      <c r="U39" s="73"/>
      <c r="V39" s="73"/>
      <c r="W39" s="73"/>
      <c r="X39" s="73"/>
      <c r="Y39" s="73"/>
      <c r="Z39" s="73"/>
      <c r="AA39" s="73"/>
      <c r="AB39" s="73"/>
      <c r="AC39" s="73"/>
    </row>
    <row r="40">
      <c r="A40" s="117" t="s">
        <v>367</v>
      </c>
      <c r="B40" s="4"/>
      <c r="C40" s="4"/>
      <c r="D40" s="4"/>
      <c r="E40" s="8"/>
      <c r="F40" s="140">
        <f>SUM(F4:F9)+SUM(F11:F16)+SUM(F18:F21)+SUM(F23:F26)+SUM(F28:F33)+SUM(F35:F36)+F39 </f>
        <v>946306600</v>
      </c>
      <c r="G40" s="141"/>
      <c r="H40" s="73"/>
      <c r="I40" s="73"/>
      <c r="J40" s="73"/>
      <c r="K40" s="73"/>
      <c r="L40" s="73"/>
      <c r="M40" s="73"/>
      <c r="N40" s="73"/>
      <c r="O40" s="73"/>
      <c r="P40" s="73"/>
      <c r="Q40" s="73"/>
      <c r="R40" s="73"/>
      <c r="S40" s="73"/>
      <c r="T40" s="73"/>
      <c r="U40" s="73"/>
      <c r="V40" s="73"/>
      <c r="W40" s="73"/>
      <c r="X40" s="73"/>
      <c r="Y40" s="73"/>
      <c r="Z40" s="73"/>
      <c r="AA40" s="73"/>
      <c r="AB40" s="73"/>
      <c r="AC40" s="73"/>
    </row>
    <row r="41">
      <c r="A41" s="73"/>
      <c r="B41" s="142"/>
      <c r="C41" s="73"/>
      <c r="D41" s="73"/>
      <c r="E41" s="143"/>
      <c r="F41" s="73"/>
      <c r="G41" s="73"/>
      <c r="H41" s="73"/>
      <c r="I41" s="73"/>
      <c r="J41" s="73"/>
      <c r="K41" s="73"/>
      <c r="L41" s="73"/>
      <c r="M41" s="73"/>
      <c r="N41" s="73"/>
      <c r="O41" s="73"/>
      <c r="P41" s="73"/>
      <c r="Q41" s="73"/>
      <c r="R41" s="73"/>
      <c r="S41" s="73"/>
      <c r="T41" s="73"/>
      <c r="U41" s="73"/>
      <c r="V41" s="73"/>
      <c r="W41" s="73"/>
      <c r="X41" s="73"/>
      <c r="Y41" s="73"/>
      <c r="Z41" s="73"/>
      <c r="AA41" s="73"/>
      <c r="AB41" s="73"/>
      <c r="AC41" s="73"/>
    </row>
    <row r="42">
      <c r="A42" s="73"/>
      <c r="B42" s="142"/>
      <c r="C42" s="73"/>
      <c r="D42" s="73"/>
      <c r="E42" s="143"/>
      <c r="F42" s="73"/>
      <c r="G42" s="73"/>
      <c r="H42" s="73"/>
      <c r="I42" s="73"/>
      <c r="J42" s="73"/>
      <c r="K42" s="73"/>
      <c r="L42" s="73"/>
      <c r="M42" s="73"/>
      <c r="N42" s="73"/>
      <c r="O42" s="73"/>
      <c r="P42" s="73"/>
      <c r="Q42" s="73"/>
      <c r="R42" s="73"/>
      <c r="S42" s="73"/>
      <c r="T42" s="73"/>
      <c r="U42" s="73"/>
      <c r="V42" s="73"/>
      <c r="W42" s="73"/>
      <c r="X42" s="73"/>
      <c r="Y42" s="73"/>
      <c r="Z42" s="73"/>
      <c r="AA42" s="73"/>
      <c r="AB42" s="73"/>
      <c r="AC42" s="73"/>
    </row>
    <row r="43">
      <c r="A43" s="73"/>
      <c r="B43" s="142"/>
      <c r="C43" s="73"/>
      <c r="D43" s="73"/>
      <c r="E43" s="143"/>
      <c r="F43" s="73"/>
      <c r="G43" s="73"/>
      <c r="H43" s="73"/>
      <c r="I43" s="73"/>
      <c r="J43" s="73"/>
      <c r="K43" s="73"/>
      <c r="L43" s="73"/>
      <c r="M43" s="73"/>
      <c r="N43" s="73"/>
      <c r="O43" s="73"/>
      <c r="P43" s="73"/>
      <c r="Q43" s="73"/>
      <c r="R43" s="73"/>
      <c r="S43" s="73"/>
      <c r="T43" s="73"/>
      <c r="U43" s="73"/>
      <c r="V43" s="73"/>
      <c r="W43" s="73"/>
      <c r="X43" s="73"/>
      <c r="Y43" s="73"/>
      <c r="Z43" s="73"/>
      <c r="AA43" s="73"/>
      <c r="AB43" s="73"/>
      <c r="AC43" s="73"/>
    </row>
    <row r="44">
      <c r="A44" s="73"/>
      <c r="B44" s="142"/>
      <c r="C44" s="73"/>
      <c r="D44" s="73"/>
      <c r="E44" s="143"/>
      <c r="F44" s="73"/>
      <c r="G44" s="73"/>
      <c r="H44" s="73"/>
      <c r="I44" s="73"/>
      <c r="J44" s="73"/>
      <c r="K44" s="73"/>
      <c r="L44" s="73"/>
      <c r="M44" s="73"/>
      <c r="N44" s="73"/>
      <c r="O44" s="73"/>
      <c r="P44" s="73"/>
      <c r="Q44" s="73"/>
      <c r="R44" s="73"/>
      <c r="S44" s="73"/>
      <c r="T44" s="73"/>
      <c r="U44" s="73"/>
      <c r="V44" s="73"/>
      <c r="W44" s="73"/>
      <c r="X44" s="73"/>
      <c r="Y44" s="73"/>
      <c r="Z44" s="73"/>
      <c r="AA44" s="73"/>
      <c r="AB44" s="73"/>
      <c r="AC44" s="73"/>
    </row>
    <row r="45">
      <c r="A45" s="73"/>
      <c r="B45" s="142"/>
      <c r="C45" s="73"/>
      <c r="D45" s="73"/>
      <c r="E45" s="143"/>
      <c r="F45" s="73"/>
      <c r="G45" s="73"/>
      <c r="H45" s="73"/>
      <c r="I45" s="73"/>
      <c r="J45" s="73"/>
      <c r="K45" s="73"/>
      <c r="L45" s="73"/>
      <c r="M45" s="73"/>
      <c r="N45" s="73"/>
      <c r="O45" s="73"/>
      <c r="P45" s="73"/>
      <c r="Q45" s="73"/>
      <c r="R45" s="73"/>
      <c r="S45" s="73"/>
      <c r="T45" s="73"/>
      <c r="U45" s="73"/>
      <c r="V45" s="73"/>
      <c r="W45" s="73"/>
      <c r="X45" s="73"/>
      <c r="Y45" s="73"/>
      <c r="Z45" s="73"/>
      <c r="AA45" s="73"/>
      <c r="AB45" s="73"/>
      <c r="AC45" s="73"/>
    </row>
    <row r="46">
      <c r="A46" s="73"/>
      <c r="B46" s="142"/>
      <c r="C46" s="73"/>
      <c r="D46" s="73"/>
      <c r="E46" s="143"/>
      <c r="F46" s="73"/>
      <c r="G46" s="73"/>
      <c r="H46" s="73"/>
      <c r="I46" s="73"/>
      <c r="J46" s="73"/>
      <c r="K46" s="73"/>
      <c r="L46" s="73"/>
      <c r="M46" s="73"/>
      <c r="N46" s="73"/>
      <c r="O46" s="73"/>
      <c r="P46" s="73"/>
      <c r="Q46" s="73"/>
      <c r="R46" s="73"/>
      <c r="S46" s="73"/>
      <c r="T46" s="73"/>
      <c r="U46" s="73"/>
      <c r="V46" s="73"/>
      <c r="W46" s="73"/>
      <c r="X46" s="73"/>
      <c r="Y46" s="73"/>
      <c r="Z46" s="73"/>
      <c r="AA46" s="73"/>
      <c r="AB46" s="73"/>
      <c r="AC46" s="73"/>
    </row>
    <row r="47">
      <c r="A47" s="73"/>
      <c r="B47" s="142"/>
      <c r="C47" s="73"/>
      <c r="D47" s="73"/>
      <c r="E47" s="143"/>
      <c r="F47" s="73"/>
      <c r="G47" s="73"/>
      <c r="H47" s="73"/>
      <c r="I47" s="73"/>
      <c r="J47" s="73"/>
      <c r="K47" s="73"/>
      <c r="L47" s="73"/>
      <c r="M47" s="73"/>
      <c r="N47" s="73"/>
      <c r="O47" s="73"/>
      <c r="P47" s="73"/>
      <c r="Q47" s="73"/>
      <c r="R47" s="73"/>
      <c r="S47" s="73"/>
      <c r="T47" s="73"/>
      <c r="U47" s="73"/>
      <c r="V47" s="73"/>
      <c r="W47" s="73"/>
      <c r="X47" s="73"/>
      <c r="Y47" s="73"/>
      <c r="Z47" s="73"/>
      <c r="AA47" s="73"/>
      <c r="AB47" s="73"/>
      <c r="AC47" s="73"/>
    </row>
    <row r="48">
      <c r="A48" s="73"/>
      <c r="B48" s="142"/>
      <c r="C48" s="73"/>
      <c r="D48" s="73"/>
      <c r="E48" s="143"/>
      <c r="F48" s="73"/>
      <c r="G48" s="73"/>
      <c r="H48" s="73"/>
      <c r="I48" s="73"/>
      <c r="J48" s="73"/>
      <c r="K48" s="73"/>
      <c r="L48" s="73"/>
      <c r="M48" s="73"/>
      <c r="N48" s="73"/>
      <c r="O48" s="73"/>
      <c r="P48" s="73"/>
      <c r="Q48" s="73"/>
      <c r="R48" s="73"/>
      <c r="S48" s="73"/>
      <c r="T48" s="73"/>
      <c r="U48" s="73"/>
      <c r="V48" s="73"/>
      <c r="W48" s="73"/>
      <c r="X48" s="73"/>
      <c r="Y48" s="73"/>
      <c r="Z48" s="73"/>
      <c r="AA48" s="73"/>
      <c r="AB48" s="73"/>
      <c r="AC48" s="73"/>
    </row>
    <row r="49">
      <c r="A49" s="73"/>
      <c r="B49" s="142"/>
      <c r="C49" s="73"/>
      <c r="D49" s="73"/>
      <c r="E49" s="143"/>
      <c r="F49" s="73"/>
      <c r="G49" s="73"/>
      <c r="H49" s="73"/>
      <c r="I49" s="73"/>
      <c r="J49" s="73"/>
      <c r="K49" s="73"/>
      <c r="L49" s="73"/>
      <c r="M49" s="73"/>
      <c r="N49" s="73"/>
      <c r="O49" s="73"/>
      <c r="P49" s="73"/>
      <c r="Q49" s="73"/>
      <c r="R49" s="73"/>
      <c r="S49" s="73"/>
      <c r="T49" s="73"/>
      <c r="U49" s="73"/>
      <c r="V49" s="73"/>
      <c r="W49" s="73"/>
      <c r="X49" s="73"/>
      <c r="Y49" s="73"/>
      <c r="Z49" s="73"/>
      <c r="AA49" s="73"/>
      <c r="AB49" s="73"/>
      <c r="AC49" s="73"/>
    </row>
    <row r="50">
      <c r="A50" s="73"/>
      <c r="B50" s="142"/>
      <c r="C50" s="73"/>
      <c r="D50" s="73"/>
      <c r="E50" s="143"/>
      <c r="F50" s="73"/>
      <c r="G50" s="73"/>
      <c r="H50" s="73"/>
      <c r="I50" s="73"/>
      <c r="J50" s="73"/>
      <c r="K50" s="73"/>
      <c r="L50" s="73"/>
      <c r="M50" s="73"/>
      <c r="N50" s="73"/>
      <c r="O50" s="73"/>
      <c r="P50" s="73"/>
      <c r="Q50" s="73"/>
      <c r="R50" s="73"/>
      <c r="S50" s="73"/>
      <c r="T50" s="73"/>
      <c r="U50" s="73"/>
      <c r="V50" s="73"/>
      <c r="W50" s="73"/>
      <c r="X50" s="73"/>
      <c r="Y50" s="73"/>
      <c r="Z50" s="73"/>
      <c r="AA50" s="73"/>
      <c r="AB50" s="73"/>
      <c r="AC50" s="73"/>
    </row>
    <row r="51">
      <c r="A51" s="73"/>
      <c r="B51" s="142"/>
      <c r="C51" s="73"/>
      <c r="D51" s="73"/>
      <c r="E51" s="143"/>
      <c r="F51" s="73"/>
      <c r="G51" s="73"/>
      <c r="H51" s="73"/>
      <c r="I51" s="73"/>
      <c r="J51" s="73"/>
      <c r="K51" s="73"/>
      <c r="L51" s="73"/>
      <c r="M51" s="73"/>
      <c r="N51" s="73"/>
      <c r="O51" s="73"/>
      <c r="P51" s="73"/>
      <c r="Q51" s="73"/>
      <c r="R51" s="73"/>
      <c r="S51" s="73"/>
      <c r="T51" s="73"/>
      <c r="U51" s="73"/>
      <c r="V51" s="73"/>
      <c r="W51" s="73"/>
      <c r="X51" s="73"/>
      <c r="Y51" s="73"/>
      <c r="Z51" s="73"/>
      <c r="AA51" s="73"/>
      <c r="AB51" s="73"/>
      <c r="AC51" s="73"/>
    </row>
    <row r="52">
      <c r="A52" s="73"/>
      <c r="B52" s="142"/>
      <c r="C52" s="73"/>
      <c r="D52" s="73"/>
      <c r="E52" s="143"/>
      <c r="F52" s="73"/>
      <c r="G52" s="73"/>
      <c r="H52" s="73"/>
      <c r="I52" s="73"/>
      <c r="J52" s="73"/>
      <c r="K52" s="73"/>
      <c r="L52" s="73"/>
      <c r="M52" s="73"/>
      <c r="N52" s="73"/>
      <c r="O52" s="73"/>
      <c r="P52" s="73"/>
      <c r="Q52" s="73"/>
      <c r="R52" s="73"/>
      <c r="S52" s="73"/>
      <c r="T52" s="73"/>
      <c r="U52" s="73"/>
      <c r="V52" s="73"/>
      <c r="W52" s="73"/>
      <c r="X52" s="73"/>
      <c r="Y52" s="73"/>
      <c r="Z52" s="73"/>
      <c r="AA52" s="73"/>
      <c r="AB52" s="73"/>
      <c r="AC52" s="73"/>
    </row>
    <row r="53">
      <c r="A53" s="73"/>
      <c r="B53" s="142"/>
      <c r="C53" s="73"/>
      <c r="D53" s="73"/>
      <c r="E53" s="143"/>
      <c r="F53" s="73"/>
      <c r="G53" s="73"/>
      <c r="H53" s="73"/>
      <c r="I53" s="73"/>
      <c r="J53" s="73"/>
      <c r="K53" s="73"/>
      <c r="L53" s="73"/>
      <c r="M53" s="73"/>
      <c r="N53" s="73"/>
      <c r="O53" s="73"/>
      <c r="P53" s="73"/>
      <c r="Q53" s="73"/>
      <c r="R53" s="73"/>
      <c r="S53" s="73"/>
      <c r="T53" s="73"/>
      <c r="U53" s="73"/>
      <c r="V53" s="73"/>
      <c r="W53" s="73"/>
      <c r="X53" s="73"/>
      <c r="Y53" s="73"/>
      <c r="Z53" s="73"/>
      <c r="AA53" s="73"/>
      <c r="AB53" s="73"/>
      <c r="AC53" s="73"/>
    </row>
    <row r="54">
      <c r="A54" s="73"/>
      <c r="B54" s="142"/>
      <c r="C54" s="73"/>
      <c r="D54" s="73"/>
      <c r="E54" s="143"/>
      <c r="F54" s="73"/>
      <c r="G54" s="73"/>
      <c r="H54" s="73"/>
      <c r="I54" s="73"/>
      <c r="J54" s="73"/>
      <c r="K54" s="73"/>
      <c r="L54" s="73"/>
      <c r="M54" s="73"/>
      <c r="N54" s="73"/>
      <c r="O54" s="73"/>
      <c r="P54" s="73"/>
      <c r="Q54" s="73"/>
      <c r="R54" s="73"/>
      <c r="S54" s="73"/>
      <c r="T54" s="73"/>
      <c r="U54" s="73"/>
      <c r="V54" s="73"/>
      <c r="W54" s="73"/>
      <c r="X54" s="73"/>
      <c r="Y54" s="73"/>
      <c r="Z54" s="73"/>
      <c r="AA54" s="73"/>
      <c r="AB54" s="73"/>
      <c r="AC54" s="73"/>
    </row>
    <row r="55">
      <c r="A55" s="73"/>
      <c r="B55" s="142"/>
      <c r="C55" s="73"/>
      <c r="D55" s="73"/>
      <c r="E55" s="143"/>
      <c r="F55" s="73"/>
      <c r="G55" s="73"/>
      <c r="H55" s="73"/>
      <c r="I55" s="73"/>
      <c r="J55" s="73"/>
      <c r="K55" s="73"/>
      <c r="L55" s="73"/>
      <c r="M55" s="73"/>
      <c r="N55" s="73"/>
      <c r="O55" s="73"/>
      <c r="P55" s="73"/>
      <c r="Q55" s="73"/>
      <c r="R55" s="73"/>
      <c r="S55" s="73"/>
      <c r="T55" s="73"/>
      <c r="U55" s="73"/>
      <c r="V55" s="73"/>
      <c r="W55" s="73"/>
      <c r="X55" s="73"/>
      <c r="Y55" s="73"/>
      <c r="Z55" s="73"/>
      <c r="AA55" s="73"/>
      <c r="AB55" s="73"/>
      <c r="AC55" s="73"/>
    </row>
    <row r="56">
      <c r="A56" s="73"/>
      <c r="B56" s="142"/>
      <c r="C56" s="73"/>
      <c r="D56" s="73"/>
      <c r="E56" s="143"/>
      <c r="F56" s="73"/>
      <c r="G56" s="73"/>
      <c r="H56" s="73"/>
      <c r="I56" s="73"/>
      <c r="J56" s="73"/>
      <c r="K56" s="73"/>
      <c r="L56" s="73"/>
      <c r="M56" s="73"/>
      <c r="N56" s="73"/>
      <c r="O56" s="73"/>
      <c r="P56" s="73"/>
      <c r="Q56" s="73"/>
      <c r="R56" s="73"/>
      <c r="S56" s="73"/>
      <c r="T56" s="73"/>
      <c r="U56" s="73"/>
      <c r="V56" s="73"/>
      <c r="W56" s="73"/>
      <c r="X56" s="73"/>
      <c r="Y56" s="73"/>
      <c r="Z56" s="73"/>
      <c r="AA56" s="73"/>
      <c r="AB56" s="73"/>
      <c r="AC56" s="73"/>
    </row>
    <row r="57">
      <c r="A57" s="73"/>
      <c r="B57" s="142"/>
      <c r="C57" s="73"/>
      <c r="D57" s="73"/>
      <c r="E57" s="143"/>
      <c r="F57" s="73"/>
      <c r="G57" s="73"/>
      <c r="H57" s="73"/>
      <c r="I57" s="73"/>
      <c r="J57" s="73"/>
      <c r="K57" s="73"/>
      <c r="L57" s="73"/>
      <c r="M57" s="73"/>
      <c r="N57" s="73"/>
      <c r="O57" s="73"/>
      <c r="P57" s="73"/>
      <c r="Q57" s="73"/>
      <c r="R57" s="73"/>
      <c r="S57" s="73"/>
      <c r="T57" s="73"/>
      <c r="U57" s="73"/>
      <c r="V57" s="73"/>
      <c r="W57" s="73"/>
      <c r="X57" s="73"/>
      <c r="Y57" s="73"/>
      <c r="Z57" s="73"/>
      <c r="AA57" s="73"/>
      <c r="AB57" s="73"/>
      <c r="AC57" s="73"/>
    </row>
    <row r="58">
      <c r="A58" s="73"/>
      <c r="B58" s="142"/>
      <c r="C58" s="73"/>
      <c r="D58" s="73"/>
      <c r="E58" s="143"/>
      <c r="F58" s="73"/>
      <c r="G58" s="73"/>
      <c r="H58" s="73"/>
      <c r="I58" s="73"/>
      <c r="J58" s="73"/>
      <c r="K58" s="73"/>
      <c r="L58" s="73"/>
      <c r="M58" s="73"/>
      <c r="N58" s="73"/>
      <c r="O58" s="73"/>
      <c r="P58" s="73"/>
      <c r="Q58" s="73"/>
      <c r="R58" s="73"/>
      <c r="S58" s="73"/>
      <c r="T58" s="73"/>
      <c r="U58" s="73"/>
      <c r="V58" s="73"/>
      <c r="W58" s="73"/>
      <c r="X58" s="73"/>
      <c r="Y58" s="73"/>
      <c r="Z58" s="73"/>
      <c r="AA58" s="73"/>
      <c r="AB58" s="73"/>
      <c r="AC58" s="73"/>
    </row>
    <row r="59">
      <c r="A59" s="73"/>
      <c r="B59" s="142"/>
      <c r="C59" s="73"/>
      <c r="D59" s="73"/>
      <c r="E59" s="143"/>
      <c r="F59" s="73"/>
      <c r="G59" s="73"/>
      <c r="H59" s="73"/>
      <c r="I59" s="73"/>
      <c r="J59" s="73"/>
      <c r="K59" s="73"/>
      <c r="L59" s="73"/>
      <c r="M59" s="73"/>
      <c r="N59" s="73"/>
      <c r="O59" s="73"/>
      <c r="P59" s="73"/>
      <c r="Q59" s="73"/>
      <c r="R59" s="73"/>
      <c r="S59" s="73"/>
      <c r="T59" s="73"/>
      <c r="U59" s="73"/>
      <c r="V59" s="73"/>
      <c r="W59" s="73"/>
      <c r="X59" s="73"/>
      <c r="Y59" s="73"/>
      <c r="Z59" s="73"/>
      <c r="AA59" s="73"/>
      <c r="AB59" s="73"/>
      <c r="AC59" s="73"/>
    </row>
    <row r="60">
      <c r="A60" s="73"/>
      <c r="B60" s="142"/>
      <c r="C60" s="73"/>
      <c r="D60" s="73"/>
      <c r="E60" s="143"/>
      <c r="F60" s="73"/>
      <c r="G60" s="73"/>
      <c r="H60" s="73"/>
      <c r="I60" s="73"/>
      <c r="J60" s="73"/>
      <c r="K60" s="73"/>
      <c r="L60" s="73"/>
      <c r="M60" s="73"/>
      <c r="N60" s="73"/>
      <c r="O60" s="73"/>
      <c r="P60" s="73"/>
      <c r="Q60" s="73"/>
      <c r="R60" s="73"/>
      <c r="S60" s="73"/>
      <c r="T60" s="73"/>
      <c r="U60" s="73"/>
      <c r="V60" s="73"/>
      <c r="W60" s="73"/>
      <c r="X60" s="73"/>
      <c r="Y60" s="73"/>
      <c r="Z60" s="73"/>
      <c r="AA60" s="73"/>
      <c r="AB60" s="73"/>
      <c r="AC60" s="73"/>
    </row>
    <row r="61">
      <c r="A61" s="73"/>
      <c r="B61" s="142"/>
      <c r="C61" s="73"/>
      <c r="D61" s="73"/>
      <c r="E61" s="143"/>
      <c r="F61" s="73"/>
      <c r="G61" s="73"/>
      <c r="H61" s="73"/>
      <c r="I61" s="73"/>
      <c r="J61" s="73"/>
      <c r="K61" s="73"/>
      <c r="L61" s="73"/>
      <c r="M61" s="73"/>
      <c r="N61" s="73"/>
      <c r="O61" s="73"/>
      <c r="P61" s="73"/>
      <c r="Q61" s="73"/>
      <c r="R61" s="73"/>
      <c r="S61" s="73"/>
      <c r="T61" s="73"/>
      <c r="U61" s="73"/>
      <c r="V61" s="73"/>
      <c r="W61" s="73"/>
      <c r="X61" s="73"/>
      <c r="Y61" s="73"/>
      <c r="Z61" s="73"/>
      <c r="AA61" s="73"/>
      <c r="AB61" s="73"/>
      <c r="AC61" s="73"/>
    </row>
    <row r="62">
      <c r="A62" s="73"/>
      <c r="B62" s="142"/>
      <c r="C62" s="73"/>
      <c r="D62" s="73"/>
      <c r="E62" s="143"/>
      <c r="F62" s="73"/>
      <c r="G62" s="73"/>
      <c r="H62" s="73"/>
      <c r="I62" s="73"/>
      <c r="J62" s="73"/>
      <c r="K62" s="73"/>
      <c r="L62" s="73"/>
      <c r="M62" s="73"/>
      <c r="N62" s="73"/>
      <c r="O62" s="73"/>
      <c r="P62" s="73"/>
      <c r="Q62" s="73"/>
      <c r="R62" s="73"/>
      <c r="S62" s="73"/>
      <c r="T62" s="73"/>
      <c r="U62" s="73"/>
      <c r="V62" s="73"/>
      <c r="W62" s="73"/>
      <c r="X62" s="73"/>
      <c r="Y62" s="73"/>
      <c r="Z62" s="73"/>
      <c r="AA62" s="73"/>
      <c r="AB62" s="73"/>
      <c r="AC62" s="73"/>
    </row>
    <row r="63">
      <c r="A63" s="73"/>
      <c r="B63" s="142"/>
      <c r="C63" s="73"/>
      <c r="D63" s="73"/>
      <c r="E63" s="143"/>
      <c r="F63" s="73"/>
      <c r="G63" s="73"/>
      <c r="H63" s="73"/>
      <c r="I63" s="73"/>
      <c r="J63" s="73"/>
      <c r="K63" s="73"/>
      <c r="L63" s="73"/>
      <c r="M63" s="73"/>
      <c r="N63" s="73"/>
      <c r="O63" s="73"/>
      <c r="P63" s="73"/>
      <c r="Q63" s="73"/>
      <c r="R63" s="73"/>
      <c r="S63" s="73"/>
      <c r="T63" s="73"/>
      <c r="U63" s="73"/>
      <c r="V63" s="73"/>
      <c r="W63" s="73"/>
      <c r="X63" s="73"/>
      <c r="Y63" s="73"/>
      <c r="Z63" s="73"/>
      <c r="AA63" s="73"/>
      <c r="AB63" s="73"/>
      <c r="AC63" s="73"/>
    </row>
    <row r="64">
      <c r="A64" s="73"/>
      <c r="B64" s="142"/>
      <c r="C64" s="73"/>
      <c r="D64" s="73"/>
      <c r="E64" s="143"/>
      <c r="F64" s="73"/>
      <c r="G64" s="73"/>
      <c r="H64" s="73"/>
      <c r="I64" s="73"/>
      <c r="J64" s="73"/>
      <c r="K64" s="73"/>
      <c r="L64" s="73"/>
      <c r="M64" s="73"/>
      <c r="N64" s="73"/>
      <c r="O64" s="73"/>
      <c r="P64" s="73"/>
      <c r="Q64" s="73"/>
      <c r="R64" s="73"/>
      <c r="S64" s="73"/>
      <c r="T64" s="73"/>
      <c r="U64" s="73"/>
      <c r="V64" s="73"/>
      <c r="W64" s="73"/>
      <c r="X64" s="73"/>
      <c r="Y64" s="73"/>
      <c r="Z64" s="73"/>
      <c r="AA64" s="73"/>
      <c r="AB64" s="73"/>
      <c r="AC64" s="73"/>
    </row>
    <row r="65">
      <c r="A65" s="73"/>
      <c r="B65" s="142"/>
      <c r="C65" s="73"/>
      <c r="D65" s="73"/>
      <c r="E65" s="143"/>
      <c r="F65" s="73"/>
      <c r="G65" s="73"/>
      <c r="H65" s="73"/>
      <c r="I65" s="73"/>
      <c r="J65" s="73"/>
      <c r="K65" s="73"/>
      <c r="L65" s="73"/>
      <c r="M65" s="73"/>
      <c r="N65" s="73"/>
      <c r="O65" s="73"/>
      <c r="P65" s="73"/>
      <c r="Q65" s="73"/>
      <c r="R65" s="73"/>
      <c r="S65" s="73"/>
      <c r="T65" s="73"/>
      <c r="U65" s="73"/>
      <c r="V65" s="73"/>
      <c r="W65" s="73"/>
      <c r="X65" s="73"/>
      <c r="Y65" s="73"/>
      <c r="Z65" s="73"/>
      <c r="AA65" s="73"/>
      <c r="AB65" s="73"/>
      <c r="AC65" s="73"/>
    </row>
    <row r="66">
      <c r="A66" s="73"/>
      <c r="B66" s="142"/>
      <c r="C66" s="73"/>
      <c r="D66" s="73"/>
      <c r="E66" s="143"/>
      <c r="F66" s="73"/>
      <c r="G66" s="73"/>
      <c r="H66" s="73"/>
      <c r="I66" s="73"/>
      <c r="J66" s="73"/>
      <c r="K66" s="73"/>
      <c r="L66" s="73"/>
      <c r="M66" s="73"/>
      <c r="N66" s="73"/>
      <c r="O66" s="73"/>
      <c r="P66" s="73"/>
      <c r="Q66" s="73"/>
      <c r="R66" s="73"/>
      <c r="S66" s="73"/>
      <c r="T66" s="73"/>
      <c r="U66" s="73"/>
      <c r="V66" s="73"/>
      <c r="W66" s="73"/>
      <c r="X66" s="73"/>
      <c r="Y66" s="73"/>
      <c r="Z66" s="73"/>
      <c r="AA66" s="73"/>
      <c r="AB66" s="73"/>
      <c r="AC66" s="73"/>
    </row>
    <row r="67">
      <c r="A67" s="73"/>
      <c r="B67" s="142"/>
      <c r="C67" s="73"/>
      <c r="D67" s="73"/>
      <c r="E67" s="143"/>
      <c r="F67" s="73"/>
      <c r="G67" s="73"/>
      <c r="H67" s="73"/>
      <c r="I67" s="73"/>
      <c r="J67" s="73"/>
      <c r="K67" s="73"/>
      <c r="L67" s="73"/>
      <c r="M67" s="73"/>
      <c r="N67" s="73"/>
      <c r="O67" s="73"/>
      <c r="P67" s="73"/>
      <c r="Q67" s="73"/>
      <c r="R67" s="73"/>
      <c r="S67" s="73"/>
      <c r="T67" s="73"/>
      <c r="U67" s="73"/>
      <c r="V67" s="73"/>
      <c r="W67" s="73"/>
      <c r="X67" s="73"/>
      <c r="Y67" s="73"/>
      <c r="Z67" s="73"/>
      <c r="AA67" s="73"/>
      <c r="AB67" s="73"/>
      <c r="AC67" s="73"/>
    </row>
    <row r="68">
      <c r="A68" s="73"/>
      <c r="B68" s="142"/>
      <c r="C68" s="73"/>
      <c r="D68" s="73"/>
      <c r="E68" s="143"/>
      <c r="F68" s="73"/>
      <c r="G68" s="73"/>
      <c r="H68" s="73"/>
      <c r="I68" s="73"/>
      <c r="J68" s="73"/>
      <c r="K68" s="73"/>
      <c r="L68" s="73"/>
      <c r="M68" s="73"/>
      <c r="N68" s="73"/>
      <c r="O68" s="73"/>
      <c r="P68" s="73"/>
      <c r="Q68" s="73"/>
      <c r="R68" s="73"/>
      <c r="S68" s="73"/>
      <c r="T68" s="73"/>
      <c r="U68" s="73"/>
      <c r="V68" s="73"/>
      <c r="W68" s="73"/>
      <c r="X68" s="73"/>
      <c r="Y68" s="73"/>
      <c r="Z68" s="73"/>
      <c r="AA68" s="73"/>
      <c r="AB68" s="73"/>
      <c r="AC68" s="73"/>
    </row>
    <row r="69">
      <c r="A69" s="73"/>
      <c r="B69" s="142"/>
      <c r="C69" s="73"/>
      <c r="D69" s="73"/>
      <c r="E69" s="143"/>
      <c r="F69" s="73"/>
      <c r="G69" s="73"/>
      <c r="H69" s="73"/>
      <c r="I69" s="73"/>
      <c r="J69" s="73"/>
      <c r="K69" s="73"/>
      <c r="L69" s="73"/>
      <c r="M69" s="73"/>
      <c r="N69" s="73"/>
      <c r="O69" s="73"/>
      <c r="P69" s="73"/>
      <c r="Q69" s="73"/>
      <c r="R69" s="73"/>
      <c r="S69" s="73"/>
      <c r="T69" s="73"/>
      <c r="U69" s="73"/>
      <c r="V69" s="73"/>
      <c r="W69" s="73"/>
      <c r="X69" s="73"/>
      <c r="Y69" s="73"/>
      <c r="Z69" s="73"/>
      <c r="AA69" s="73"/>
      <c r="AB69" s="73"/>
      <c r="AC69" s="73"/>
    </row>
    <row r="70">
      <c r="A70" s="73"/>
      <c r="B70" s="142"/>
      <c r="C70" s="73"/>
      <c r="D70" s="73"/>
      <c r="E70" s="143"/>
      <c r="F70" s="73"/>
      <c r="G70" s="73"/>
      <c r="H70" s="73"/>
      <c r="I70" s="73"/>
      <c r="J70" s="73"/>
      <c r="K70" s="73"/>
      <c r="L70" s="73"/>
      <c r="M70" s="73"/>
      <c r="N70" s="73"/>
      <c r="O70" s="73"/>
      <c r="P70" s="73"/>
      <c r="Q70" s="73"/>
      <c r="R70" s="73"/>
      <c r="S70" s="73"/>
      <c r="T70" s="73"/>
      <c r="U70" s="73"/>
      <c r="V70" s="73"/>
      <c r="W70" s="73"/>
      <c r="X70" s="73"/>
      <c r="Y70" s="73"/>
      <c r="Z70" s="73"/>
      <c r="AA70" s="73"/>
      <c r="AB70" s="73"/>
      <c r="AC70" s="73"/>
    </row>
    <row r="71">
      <c r="A71" s="73"/>
      <c r="B71" s="142"/>
      <c r="C71" s="73"/>
      <c r="D71" s="73"/>
      <c r="E71" s="143"/>
      <c r="F71" s="73"/>
      <c r="G71" s="73"/>
      <c r="H71" s="73"/>
      <c r="I71" s="73"/>
      <c r="J71" s="73"/>
      <c r="K71" s="73"/>
      <c r="L71" s="73"/>
      <c r="M71" s="73"/>
      <c r="N71" s="73"/>
      <c r="O71" s="73"/>
      <c r="P71" s="73"/>
      <c r="Q71" s="73"/>
      <c r="R71" s="73"/>
      <c r="S71" s="73"/>
      <c r="T71" s="73"/>
      <c r="U71" s="73"/>
      <c r="V71" s="73"/>
      <c r="W71" s="73"/>
      <c r="X71" s="73"/>
      <c r="Y71" s="73"/>
      <c r="Z71" s="73"/>
      <c r="AA71" s="73"/>
      <c r="AB71" s="73"/>
      <c r="AC71" s="73"/>
    </row>
    <row r="72">
      <c r="A72" s="73"/>
      <c r="B72" s="142"/>
      <c r="C72" s="73"/>
      <c r="D72" s="73"/>
      <c r="E72" s="143"/>
      <c r="F72" s="73"/>
      <c r="G72" s="73"/>
      <c r="H72" s="73"/>
      <c r="I72" s="73"/>
      <c r="J72" s="73"/>
      <c r="K72" s="73"/>
      <c r="L72" s="73"/>
      <c r="M72" s="73"/>
      <c r="N72" s="73"/>
      <c r="O72" s="73"/>
      <c r="P72" s="73"/>
      <c r="Q72" s="73"/>
      <c r="R72" s="73"/>
      <c r="S72" s="73"/>
      <c r="T72" s="73"/>
      <c r="U72" s="73"/>
      <c r="V72" s="73"/>
      <c r="W72" s="73"/>
      <c r="X72" s="73"/>
      <c r="Y72" s="73"/>
      <c r="Z72" s="73"/>
      <c r="AA72" s="73"/>
      <c r="AB72" s="73"/>
      <c r="AC72" s="73"/>
    </row>
    <row r="73">
      <c r="A73" s="73"/>
      <c r="B73" s="142"/>
      <c r="C73" s="73"/>
      <c r="D73" s="73"/>
      <c r="E73" s="143"/>
      <c r="F73" s="73"/>
      <c r="G73" s="73"/>
      <c r="H73" s="73"/>
      <c r="I73" s="73"/>
      <c r="J73" s="73"/>
      <c r="K73" s="73"/>
      <c r="L73" s="73"/>
      <c r="M73" s="73"/>
      <c r="N73" s="73"/>
      <c r="O73" s="73"/>
      <c r="P73" s="73"/>
      <c r="Q73" s="73"/>
      <c r="R73" s="73"/>
      <c r="S73" s="73"/>
      <c r="T73" s="73"/>
      <c r="U73" s="73"/>
      <c r="V73" s="73"/>
      <c r="W73" s="73"/>
      <c r="X73" s="73"/>
      <c r="Y73" s="73"/>
      <c r="Z73" s="73"/>
      <c r="AA73" s="73"/>
      <c r="AB73" s="73"/>
      <c r="AC73" s="73"/>
    </row>
    <row r="74">
      <c r="A74" s="73"/>
      <c r="B74" s="142"/>
      <c r="C74" s="73"/>
      <c r="D74" s="73"/>
      <c r="E74" s="143"/>
      <c r="F74" s="73"/>
      <c r="G74" s="73"/>
      <c r="H74" s="73"/>
      <c r="I74" s="73"/>
      <c r="J74" s="73"/>
      <c r="K74" s="73"/>
      <c r="L74" s="73"/>
      <c r="M74" s="73"/>
      <c r="N74" s="73"/>
      <c r="O74" s="73"/>
      <c r="P74" s="73"/>
      <c r="Q74" s="73"/>
      <c r="R74" s="73"/>
      <c r="S74" s="73"/>
      <c r="T74" s="73"/>
      <c r="U74" s="73"/>
      <c r="V74" s="73"/>
      <c r="W74" s="73"/>
      <c r="X74" s="73"/>
      <c r="Y74" s="73"/>
      <c r="Z74" s="73"/>
      <c r="AA74" s="73"/>
      <c r="AB74" s="73"/>
      <c r="AC74" s="73"/>
    </row>
    <row r="75">
      <c r="A75" s="73"/>
      <c r="B75" s="142"/>
      <c r="C75" s="73"/>
      <c r="D75" s="73"/>
      <c r="E75" s="143"/>
      <c r="F75" s="73"/>
      <c r="G75" s="73"/>
      <c r="H75" s="73"/>
      <c r="I75" s="73"/>
      <c r="J75" s="73"/>
      <c r="K75" s="73"/>
      <c r="L75" s="73"/>
      <c r="M75" s="73"/>
      <c r="N75" s="73"/>
      <c r="O75" s="73"/>
      <c r="P75" s="73"/>
      <c r="Q75" s="73"/>
      <c r="R75" s="73"/>
      <c r="S75" s="73"/>
      <c r="T75" s="73"/>
      <c r="U75" s="73"/>
      <c r="V75" s="73"/>
      <c r="W75" s="73"/>
      <c r="X75" s="73"/>
      <c r="Y75" s="73"/>
      <c r="Z75" s="73"/>
      <c r="AA75" s="73"/>
      <c r="AB75" s="73"/>
      <c r="AC75" s="73"/>
    </row>
    <row r="76">
      <c r="A76" s="73"/>
      <c r="B76" s="142"/>
      <c r="C76" s="73"/>
      <c r="D76" s="73"/>
      <c r="E76" s="143"/>
      <c r="F76" s="73"/>
      <c r="G76" s="73"/>
      <c r="H76" s="73"/>
      <c r="I76" s="73"/>
      <c r="J76" s="73"/>
      <c r="K76" s="73"/>
      <c r="L76" s="73"/>
      <c r="M76" s="73"/>
      <c r="N76" s="73"/>
      <c r="O76" s="73"/>
      <c r="P76" s="73"/>
      <c r="Q76" s="73"/>
      <c r="R76" s="73"/>
      <c r="S76" s="73"/>
      <c r="T76" s="73"/>
      <c r="U76" s="73"/>
      <c r="V76" s="73"/>
      <c r="W76" s="73"/>
      <c r="X76" s="73"/>
      <c r="Y76" s="73"/>
      <c r="Z76" s="73"/>
      <c r="AA76" s="73"/>
      <c r="AB76" s="73"/>
      <c r="AC76" s="73"/>
    </row>
    <row r="77">
      <c r="A77" s="73"/>
      <c r="B77" s="142"/>
      <c r="C77" s="73"/>
      <c r="D77" s="73"/>
      <c r="E77" s="143"/>
      <c r="F77" s="73"/>
      <c r="G77" s="73"/>
      <c r="H77" s="73"/>
      <c r="I77" s="73"/>
      <c r="J77" s="73"/>
      <c r="K77" s="73"/>
      <c r="L77" s="73"/>
      <c r="M77" s="73"/>
      <c r="N77" s="73"/>
      <c r="O77" s="73"/>
      <c r="P77" s="73"/>
      <c r="Q77" s="73"/>
      <c r="R77" s="73"/>
      <c r="S77" s="73"/>
      <c r="T77" s="73"/>
      <c r="U77" s="73"/>
      <c r="V77" s="73"/>
      <c r="W77" s="73"/>
      <c r="X77" s="73"/>
      <c r="Y77" s="73"/>
      <c r="Z77" s="73"/>
      <c r="AA77" s="73"/>
      <c r="AB77" s="73"/>
      <c r="AC77" s="73"/>
    </row>
    <row r="78">
      <c r="A78" s="73"/>
      <c r="B78" s="142"/>
      <c r="C78" s="73"/>
      <c r="D78" s="73"/>
      <c r="E78" s="143"/>
      <c r="F78" s="73"/>
      <c r="G78" s="73"/>
      <c r="H78" s="73"/>
      <c r="I78" s="73"/>
      <c r="J78" s="73"/>
      <c r="K78" s="73"/>
      <c r="L78" s="73"/>
      <c r="M78" s="73"/>
      <c r="N78" s="73"/>
      <c r="O78" s="73"/>
      <c r="P78" s="73"/>
      <c r="Q78" s="73"/>
      <c r="R78" s="73"/>
      <c r="S78" s="73"/>
      <c r="T78" s="73"/>
      <c r="U78" s="73"/>
      <c r="V78" s="73"/>
      <c r="W78" s="73"/>
      <c r="X78" s="73"/>
      <c r="Y78" s="73"/>
      <c r="Z78" s="73"/>
      <c r="AA78" s="73"/>
      <c r="AB78" s="73"/>
      <c r="AC78" s="73"/>
    </row>
    <row r="79">
      <c r="A79" s="73"/>
      <c r="B79" s="142"/>
      <c r="C79" s="73"/>
      <c r="D79" s="73"/>
      <c r="E79" s="143"/>
      <c r="F79" s="73"/>
      <c r="G79" s="73"/>
      <c r="H79" s="73"/>
      <c r="I79" s="73"/>
      <c r="J79" s="73"/>
      <c r="K79" s="73"/>
      <c r="L79" s="73"/>
      <c r="M79" s="73"/>
      <c r="N79" s="73"/>
      <c r="O79" s="73"/>
      <c r="P79" s="73"/>
      <c r="Q79" s="73"/>
      <c r="R79" s="73"/>
      <c r="S79" s="73"/>
      <c r="T79" s="73"/>
      <c r="U79" s="73"/>
      <c r="V79" s="73"/>
      <c r="W79" s="73"/>
      <c r="X79" s="73"/>
      <c r="Y79" s="73"/>
      <c r="Z79" s="73"/>
      <c r="AA79" s="73"/>
      <c r="AB79" s="73"/>
      <c r="AC79" s="73"/>
    </row>
    <row r="80">
      <c r="A80" s="73"/>
      <c r="B80" s="142"/>
      <c r="C80" s="73"/>
      <c r="D80" s="73"/>
      <c r="E80" s="143"/>
      <c r="F80" s="73"/>
      <c r="G80" s="73"/>
      <c r="H80" s="73"/>
      <c r="I80" s="73"/>
      <c r="J80" s="73"/>
      <c r="K80" s="73"/>
      <c r="L80" s="73"/>
      <c r="M80" s="73"/>
      <c r="N80" s="73"/>
      <c r="O80" s="73"/>
      <c r="P80" s="73"/>
      <c r="Q80" s="73"/>
      <c r="R80" s="73"/>
      <c r="S80" s="73"/>
      <c r="T80" s="73"/>
      <c r="U80" s="73"/>
      <c r="V80" s="73"/>
      <c r="W80" s="73"/>
      <c r="X80" s="73"/>
      <c r="Y80" s="73"/>
      <c r="Z80" s="73"/>
      <c r="AA80" s="73"/>
      <c r="AB80" s="73"/>
      <c r="AC80" s="73"/>
    </row>
    <row r="81">
      <c r="A81" s="73"/>
      <c r="B81" s="142"/>
      <c r="C81" s="73"/>
      <c r="D81" s="73"/>
      <c r="E81" s="143"/>
      <c r="F81" s="73"/>
      <c r="G81" s="73"/>
      <c r="H81" s="73"/>
      <c r="I81" s="73"/>
      <c r="J81" s="73"/>
      <c r="K81" s="73"/>
      <c r="L81" s="73"/>
      <c r="M81" s="73"/>
      <c r="N81" s="73"/>
      <c r="O81" s="73"/>
      <c r="P81" s="73"/>
      <c r="Q81" s="73"/>
      <c r="R81" s="73"/>
      <c r="S81" s="73"/>
      <c r="T81" s="73"/>
      <c r="U81" s="73"/>
      <c r="V81" s="73"/>
      <c r="W81" s="73"/>
      <c r="X81" s="73"/>
      <c r="Y81" s="73"/>
      <c r="Z81" s="73"/>
      <c r="AA81" s="73"/>
      <c r="AB81" s="73"/>
      <c r="AC81" s="73"/>
    </row>
    <row r="82">
      <c r="A82" s="73"/>
      <c r="B82" s="142"/>
      <c r="C82" s="73"/>
      <c r="D82" s="73"/>
      <c r="E82" s="143"/>
      <c r="F82" s="73"/>
      <c r="G82" s="73"/>
      <c r="H82" s="73"/>
      <c r="I82" s="73"/>
      <c r="J82" s="73"/>
      <c r="K82" s="73"/>
      <c r="L82" s="73"/>
      <c r="M82" s="73"/>
      <c r="N82" s="73"/>
      <c r="O82" s="73"/>
      <c r="P82" s="73"/>
      <c r="Q82" s="73"/>
      <c r="R82" s="73"/>
      <c r="S82" s="73"/>
      <c r="T82" s="73"/>
      <c r="U82" s="73"/>
      <c r="V82" s="73"/>
      <c r="W82" s="73"/>
      <c r="X82" s="73"/>
      <c r="Y82" s="73"/>
      <c r="Z82" s="73"/>
      <c r="AA82" s="73"/>
      <c r="AB82" s="73"/>
      <c r="AC82" s="73"/>
    </row>
    <row r="83">
      <c r="A83" s="73"/>
      <c r="B83" s="142"/>
      <c r="C83" s="73"/>
      <c r="D83" s="73"/>
      <c r="E83" s="143"/>
      <c r="F83" s="73"/>
      <c r="G83" s="73"/>
      <c r="H83" s="73"/>
      <c r="I83" s="73"/>
      <c r="J83" s="73"/>
      <c r="K83" s="73"/>
      <c r="L83" s="73"/>
      <c r="M83" s="73"/>
      <c r="N83" s="73"/>
      <c r="O83" s="73"/>
      <c r="P83" s="73"/>
      <c r="Q83" s="73"/>
      <c r="R83" s="73"/>
      <c r="S83" s="73"/>
      <c r="T83" s="73"/>
      <c r="U83" s="73"/>
      <c r="V83" s="73"/>
      <c r="W83" s="73"/>
      <c r="X83" s="73"/>
      <c r="Y83" s="73"/>
      <c r="Z83" s="73"/>
      <c r="AA83" s="73"/>
      <c r="AB83" s="73"/>
      <c r="AC83" s="73"/>
    </row>
    <row r="84">
      <c r="A84" s="73"/>
      <c r="B84" s="142"/>
      <c r="C84" s="73"/>
      <c r="D84" s="73"/>
      <c r="E84" s="143"/>
      <c r="F84" s="73"/>
      <c r="G84" s="73"/>
      <c r="H84" s="73"/>
      <c r="I84" s="73"/>
      <c r="J84" s="73"/>
      <c r="K84" s="73"/>
      <c r="L84" s="73"/>
      <c r="M84" s="73"/>
      <c r="N84" s="73"/>
      <c r="O84" s="73"/>
      <c r="P84" s="73"/>
      <c r="Q84" s="73"/>
      <c r="R84" s="73"/>
      <c r="S84" s="73"/>
      <c r="T84" s="73"/>
      <c r="U84" s="73"/>
      <c r="V84" s="73"/>
      <c r="W84" s="73"/>
      <c r="X84" s="73"/>
      <c r="Y84" s="73"/>
      <c r="Z84" s="73"/>
      <c r="AA84" s="73"/>
      <c r="AB84" s="73"/>
      <c r="AC84" s="73"/>
    </row>
    <row r="85">
      <c r="A85" s="73"/>
      <c r="B85" s="142"/>
      <c r="C85" s="73"/>
      <c r="D85" s="73"/>
      <c r="E85" s="143"/>
      <c r="F85" s="73"/>
      <c r="G85" s="73"/>
      <c r="H85" s="73"/>
      <c r="I85" s="73"/>
      <c r="J85" s="73"/>
      <c r="K85" s="73"/>
      <c r="L85" s="73"/>
      <c r="M85" s="73"/>
      <c r="N85" s="73"/>
      <c r="O85" s="73"/>
      <c r="P85" s="73"/>
      <c r="Q85" s="73"/>
      <c r="R85" s="73"/>
      <c r="S85" s="73"/>
      <c r="T85" s="73"/>
      <c r="U85" s="73"/>
      <c r="V85" s="73"/>
      <c r="W85" s="73"/>
      <c r="X85" s="73"/>
      <c r="Y85" s="73"/>
      <c r="Z85" s="73"/>
      <c r="AA85" s="73"/>
      <c r="AB85" s="73"/>
      <c r="AC85" s="73"/>
    </row>
    <row r="86">
      <c r="A86" s="73"/>
      <c r="B86" s="142"/>
      <c r="C86" s="73"/>
      <c r="D86" s="73"/>
      <c r="E86" s="143"/>
      <c r="F86" s="73"/>
      <c r="G86" s="73"/>
      <c r="H86" s="73"/>
      <c r="I86" s="73"/>
      <c r="J86" s="73"/>
      <c r="K86" s="73"/>
      <c r="L86" s="73"/>
      <c r="M86" s="73"/>
      <c r="N86" s="73"/>
      <c r="O86" s="73"/>
      <c r="P86" s="73"/>
      <c r="Q86" s="73"/>
      <c r="R86" s="73"/>
      <c r="S86" s="73"/>
      <c r="T86" s="73"/>
      <c r="U86" s="73"/>
      <c r="V86" s="73"/>
      <c r="W86" s="73"/>
      <c r="X86" s="73"/>
      <c r="Y86" s="73"/>
      <c r="Z86" s="73"/>
      <c r="AA86" s="73"/>
      <c r="AB86" s="73"/>
      <c r="AC86" s="73"/>
    </row>
    <row r="87">
      <c r="A87" s="73"/>
      <c r="B87" s="142"/>
      <c r="C87" s="73"/>
      <c r="D87" s="73"/>
      <c r="E87" s="143"/>
      <c r="F87" s="73"/>
      <c r="G87" s="73"/>
      <c r="H87" s="73"/>
      <c r="I87" s="73"/>
      <c r="J87" s="73"/>
      <c r="K87" s="73"/>
      <c r="L87" s="73"/>
      <c r="M87" s="73"/>
      <c r="N87" s="73"/>
      <c r="O87" s="73"/>
      <c r="P87" s="73"/>
      <c r="Q87" s="73"/>
      <c r="R87" s="73"/>
      <c r="S87" s="73"/>
      <c r="T87" s="73"/>
      <c r="U87" s="73"/>
      <c r="V87" s="73"/>
      <c r="W87" s="73"/>
      <c r="X87" s="73"/>
      <c r="Y87" s="73"/>
      <c r="Z87" s="73"/>
      <c r="AA87" s="73"/>
      <c r="AB87" s="73"/>
      <c r="AC87" s="73"/>
    </row>
    <row r="88">
      <c r="A88" s="73"/>
      <c r="B88" s="142"/>
      <c r="C88" s="73"/>
      <c r="D88" s="73"/>
      <c r="E88" s="143"/>
      <c r="F88" s="73"/>
      <c r="G88" s="73"/>
      <c r="H88" s="73"/>
      <c r="I88" s="73"/>
      <c r="J88" s="73"/>
      <c r="K88" s="73"/>
      <c r="L88" s="73"/>
      <c r="M88" s="73"/>
      <c r="N88" s="73"/>
      <c r="O88" s="73"/>
      <c r="P88" s="73"/>
      <c r="Q88" s="73"/>
      <c r="R88" s="73"/>
      <c r="S88" s="73"/>
      <c r="T88" s="73"/>
      <c r="U88" s="73"/>
      <c r="V88" s="73"/>
      <c r="W88" s="73"/>
      <c r="X88" s="73"/>
      <c r="Y88" s="73"/>
      <c r="Z88" s="73"/>
      <c r="AA88" s="73"/>
      <c r="AB88" s="73"/>
      <c r="AC88" s="73"/>
    </row>
    <row r="89">
      <c r="A89" s="73"/>
      <c r="B89" s="142"/>
      <c r="C89" s="73"/>
      <c r="D89" s="73"/>
      <c r="E89" s="143"/>
      <c r="F89" s="73"/>
      <c r="G89" s="73"/>
      <c r="H89" s="73"/>
      <c r="I89" s="73"/>
      <c r="J89" s="73"/>
      <c r="K89" s="73"/>
      <c r="L89" s="73"/>
      <c r="M89" s="73"/>
      <c r="N89" s="73"/>
      <c r="O89" s="73"/>
      <c r="P89" s="73"/>
      <c r="Q89" s="73"/>
      <c r="R89" s="73"/>
      <c r="S89" s="73"/>
      <c r="T89" s="73"/>
      <c r="U89" s="73"/>
      <c r="V89" s="73"/>
      <c r="W89" s="73"/>
      <c r="X89" s="73"/>
      <c r="Y89" s="73"/>
      <c r="Z89" s="73"/>
      <c r="AA89" s="73"/>
      <c r="AB89" s="73"/>
      <c r="AC89" s="73"/>
    </row>
    <row r="90">
      <c r="A90" s="73"/>
      <c r="B90" s="142"/>
      <c r="C90" s="73"/>
      <c r="D90" s="73"/>
      <c r="E90" s="143"/>
      <c r="F90" s="73"/>
      <c r="G90" s="73"/>
      <c r="H90" s="73"/>
      <c r="I90" s="73"/>
      <c r="J90" s="73"/>
      <c r="K90" s="73"/>
      <c r="L90" s="73"/>
      <c r="M90" s="73"/>
      <c r="N90" s="73"/>
      <c r="O90" s="73"/>
      <c r="P90" s="73"/>
      <c r="Q90" s="73"/>
      <c r="R90" s="73"/>
      <c r="S90" s="73"/>
      <c r="T90" s="73"/>
      <c r="U90" s="73"/>
      <c r="V90" s="73"/>
      <c r="W90" s="73"/>
      <c r="X90" s="73"/>
      <c r="Y90" s="73"/>
      <c r="Z90" s="73"/>
      <c r="AA90" s="73"/>
      <c r="AB90" s="73"/>
      <c r="AC90" s="73"/>
    </row>
    <row r="91">
      <c r="A91" s="73"/>
      <c r="B91" s="142"/>
      <c r="C91" s="73"/>
      <c r="D91" s="73"/>
      <c r="E91" s="143"/>
      <c r="F91" s="73"/>
      <c r="G91" s="73"/>
      <c r="H91" s="73"/>
      <c r="I91" s="73"/>
      <c r="J91" s="73"/>
      <c r="K91" s="73"/>
      <c r="L91" s="73"/>
      <c r="M91" s="73"/>
      <c r="N91" s="73"/>
      <c r="O91" s="73"/>
      <c r="P91" s="73"/>
      <c r="Q91" s="73"/>
      <c r="R91" s="73"/>
      <c r="S91" s="73"/>
      <c r="T91" s="73"/>
      <c r="U91" s="73"/>
      <c r="V91" s="73"/>
      <c r="W91" s="73"/>
      <c r="X91" s="73"/>
      <c r="Y91" s="73"/>
      <c r="Z91" s="73"/>
      <c r="AA91" s="73"/>
      <c r="AB91" s="73"/>
      <c r="AC91" s="73"/>
    </row>
    <row r="92">
      <c r="A92" s="73"/>
      <c r="B92" s="142"/>
      <c r="C92" s="73"/>
      <c r="D92" s="73"/>
      <c r="E92" s="143"/>
      <c r="F92" s="73"/>
      <c r="G92" s="73"/>
      <c r="H92" s="73"/>
      <c r="I92" s="73"/>
      <c r="J92" s="73"/>
      <c r="K92" s="73"/>
      <c r="L92" s="73"/>
      <c r="M92" s="73"/>
      <c r="N92" s="73"/>
      <c r="O92" s="73"/>
      <c r="P92" s="73"/>
      <c r="Q92" s="73"/>
      <c r="R92" s="73"/>
      <c r="S92" s="73"/>
      <c r="T92" s="73"/>
      <c r="U92" s="73"/>
      <c r="V92" s="73"/>
      <c r="W92" s="73"/>
      <c r="X92" s="73"/>
      <c r="Y92" s="73"/>
      <c r="Z92" s="73"/>
      <c r="AA92" s="73"/>
      <c r="AB92" s="73"/>
      <c r="AC92" s="73"/>
    </row>
    <row r="93">
      <c r="A93" s="73"/>
      <c r="B93" s="142"/>
      <c r="C93" s="73"/>
      <c r="D93" s="73"/>
      <c r="E93" s="143"/>
      <c r="F93" s="73"/>
      <c r="G93" s="73"/>
      <c r="H93" s="73"/>
      <c r="I93" s="73"/>
      <c r="J93" s="73"/>
      <c r="K93" s="73"/>
      <c r="L93" s="73"/>
      <c r="M93" s="73"/>
      <c r="N93" s="73"/>
      <c r="O93" s="73"/>
      <c r="P93" s="73"/>
      <c r="Q93" s="73"/>
      <c r="R93" s="73"/>
      <c r="S93" s="73"/>
      <c r="T93" s="73"/>
      <c r="U93" s="73"/>
      <c r="V93" s="73"/>
      <c r="W93" s="73"/>
      <c r="X93" s="73"/>
      <c r="Y93" s="73"/>
      <c r="Z93" s="73"/>
      <c r="AA93" s="73"/>
      <c r="AB93" s="73"/>
      <c r="AC93" s="73"/>
    </row>
    <row r="94">
      <c r="A94" s="73"/>
      <c r="B94" s="142"/>
      <c r="C94" s="73"/>
      <c r="D94" s="73"/>
      <c r="E94" s="143"/>
      <c r="F94" s="73"/>
      <c r="G94" s="73"/>
      <c r="H94" s="73"/>
      <c r="I94" s="73"/>
      <c r="J94" s="73"/>
      <c r="K94" s="73"/>
      <c r="L94" s="73"/>
      <c r="M94" s="73"/>
      <c r="N94" s="73"/>
      <c r="O94" s="73"/>
      <c r="P94" s="73"/>
      <c r="Q94" s="73"/>
      <c r="R94" s="73"/>
      <c r="S94" s="73"/>
      <c r="T94" s="73"/>
      <c r="U94" s="73"/>
      <c r="V94" s="73"/>
      <c r="W94" s="73"/>
      <c r="X94" s="73"/>
      <c r="Y94" s="73"/>
      <c r="Z94" s="73"/>
      <c r="AA94" s="73"/>
      <c r="AB94" s="73"/>
      <c r="AC94" s="73"/>
    </row>
    <row r="95">
      <c r="A95" s="73"/>
      <c r="B95" s="142"/>
      <c r="C95" s="73"/>
      <c r="D95" s="73"/>
      <c r="E95" s="143"/>
      <c r="F95" s="73"/>
      <c r="G95" s="73"/>
      <c r="H95" s="73"/>
      <c r="I95" s="73"/>
      <c r="J95" s="73"/>
      <c r="K95" s="73"/>
      <c r="L95" s="73"/>
      <c r="M95" s="73"/>
      <c r="N95" s="73"/>
      <c r="O95" s="73"/>
      <c r="P95" s="73"/>
      <c r="Q95" s="73"/>
      <c r="R95" s="73"/>
      <c r="S95" s="73"/>
      <c r="T95" s="73"/>
      <c r="U95" s="73"/>
      <c r="V95" s="73"/>
      <c r="W95" s="73"/>
      <c r="X95" s="73"/>
      <c r="Y95" s="73"/>
      <c r="Z95" s="73"/>
      <c r="AA95" s="73"/>
      <c r="AB95" s="73"/>
      <c r="AC95" s="73"/>
    </row>
    <row r="96">
      <c r="A96" s="73"/>
      <c r="B96" s="142"/>
      <c r="C96" s="73"/>
      <c r="D96" s="73"/>
      <c r="E96" s="143"/>
      <c r="F96" s="73"/>
      <c r="G96" s="73"/>
      <c r="H96" s="73"/>
      <c r="I96" s="73"/>
      <c r="J96" s="73"/>
      <c r="K96" s="73"/>
      <c r="L96" s="73"/>
      <c r="M96" s="73"/>
      <c r="N96" s="73"/>
      <c r="O96" s="73"/>
      <c r="P96" s="73"/>
      <c r="Q96" s="73"/>
      <c r="R96" s="73"/>
      <c r="S96" s="73"/>
      <c r="T96" s="73"/>
      <c r="U96" s="73"/>
      <c r="V96" s="73"/>
      <c r="W96" s="73"/>
      <c r="X96" s="73"/>
      <c r="Y96" s="73"/>
      <c r="Z96" s="73"/>
      <c r="AA96" s="73"/>
      <c r="AB96" s="73"/>
      <c r="AC96" s="73"/>
    </row>
    <row r="97">
      <c r="A97" s="73"/>
      <c r="B97" s="142"/>
      <c r="C97" s="73"/>
      <c r="D97" s="73"/>
      <c r="E97" s="143"/>
      <c r="F97" s="73"/>
      <c r="G97" s="73"/>
      <c r="H97" s="73"/>
      <c r="I97" s="73"/>
      <c r="J97" s="73"/>
      <c r="K97" s="73"/>
      <c r="L97" s="73"/>
      <c r="M97" s="73"/>
      <c r="N97" s="73"/>
      <c r="O97" s="73"/>
      <c r="P97" s="73"/>
      <c r="Q97" s="73"/>
      <c r="R97" s="73"/>
      <c r="S97" s="73"/>
      <c r="T97" s="73"/>
      <c r="U97" s="73"/>
      <c r="V97" s="73"/>
      <c r="W97" s="73"/>
      <c r="X97" s="73"/>
      <c r="Y97" s="73"/>
      <c r="Z97" s="73"/>
      <c r="AA97" s="73"/>
      <c r="AB97" s="73"/>
      <c r="AC97" s="73"/>
    </row>
    <row r="98">
      <c r="A98" s="73"/>
      <c r="B98" s="142"/>
      <c r="C98" s="73"/>
      <c r="D98" s="73"/>
      <c r="E98" s="143"/>
      <c r="F98" s="73"/>
      <c r="G98" s="73"/>
      <c r="H98" s="73"/>
      <c r="I98" s="73"/>
      <c r="J98" s="73"/>
      <c r="K98" s="73"/>
      <c r="L98" s="73"/>
      <c r="M98" s="73"/>
      <c r="N98" s="73"/>
      <c r="O98" s="73"/>
      <c r="P98" s="73"/>
      <c r="Q98" s="73"/>
      <c r="R98" s="73"/>
      <c r="S98" s="73"/>
      <c r="T98" s="73"/>
      <c r="U98" s="73"/>
      <c r="V98" s="73"/>
      <c r="W98" s="73"/>
      <c r="X98" s="73"/>
      <c r="Y98" s="73"/>
      <c r="Z98" s="73"/>
      <c r="AA98" s="73"/>
      <c r="AB98" s="73"/>
      <c r="AC98" s="73"/>
    </row>
    <row r="99">
      <c r="A99" s="73"/>
      <c r="B99" s="142"/>
      <c r="C99" s="73"/>
      <c r="D99" s="73"/>
      <c r="E99" s="143"/>
      <c r="F99" s="73"/>
      <c r="G99" s="73"/>
      <c r="H99" s="73"/>
      <c r="I99" s="73"/>
      <c r="J99" s="73"/>
      <c r="K99" s="73"/>
      <c r="L99" s="73"/>
      <c r="M99" s="73"/>
      <c r="N99" s="73"/>
      <c r="O99" s="73"/>
      <c r="P99" s="73"/>
      <c r="Q99" s="73"/>
      <c r="R99" s="73"/>
      <c r="S99" s="73"/>
      <c r="T99" s="73"/>
      <c r="U99" s="73"/>
      <c r="V99" s="73"/>
      <c r="W99" s="73"/>
      <c r="X99" s="73"/>
      <c r="Y99" s="73"/>
      <c r="Z99" s="73"/>
      <c r="AA99" s="73"/>
      <c r="AB99" s="73"/>
      <c r="AC99" s="73"/>
    </row>
    <row r="100">
      <c r="A100" s="73"/>
      <c r="B100" s="142"/>
      <c r="C100" s="73"/>
      <c r="D100" s="73"/>
      <c r="E100" s="14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row>
    <row r="101">
      <c r="A101" s="73"/>
      <c r="B101" s="142"/>
      <c r="C101" s="73"/>
      <c r="D101" s="73"/>
      <c r="E101" s="14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row>
    <row r="102">
      <c r="A102" s="73"/>
      <c r="B102" s="142"/>
      <c r="C102" s="73"/>
      <c r="D102" s="73"/>
      <c r="E102" s="14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row>
    <row r="103">
      <c r="A103" s="73"/>
      <c r="B103" s="142"/>
      <c r="C103" s="73"/>
      <c r="D103" s="73"/>
      <c r="E103" s="14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row>
    <row r="104">
      <c r="A104" s="73"/>
      <c r="B104" s="142"/>
      <c r="C104" s="73"/>
      <c r="D104" s="73"/>
      <c r="E104" s="14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row>
    <row r="105">
      <c r="A105" s="73"/>
      <c r="B105" s="142"/>
      <c r="C105" s="73"/>
      <c r="D105" s="73"/>
      <c r="E105" s="14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row>
    <row r="106">
      <c r="A106" s="73"/>
      <c r="B106" s="142"/>
      <c r="C106" s="73"/>
      <c r="D106" s="73"/>
      <c r="E106" s="14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row>
    <row r="107">
      <c r="A107" s="73"/>
      <c r="B107" s="142"/>
      <c r="C107" s="73"/>
      <c r="D107" s="73"/>
      <c r="E107" s="14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row>
    <row r="108">
      <c r="A108" s="73"/>
      <c r="B108" s="142"/>
      <c r="C108" s="73"/>
      <c r="D108" s="73"/>
      <c r="E108" s="14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row>
    <row r="109">
      <c r="A109" s="73"/>
      <c r="B109" s="142"/>
      <c r="C109" s="73"/>
      <c r="D109" s="73"/>
      <c r="E109" s="14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row>
    <row r="110">
      <c r="A110" s="73"/>
      <c r="B110" s="142"/>
      <c r="C110" s="73"/>
      <c r="D110" s="73"/>
      <c r="E110" s="14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row>
    <row r="111">
      <c r="A111" s="73"/>
      <c r="B111" s="142"/>
      <c r="C111" s="73"/>
      <c r="D111" s="73"/>
      <c r="E111" s="14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row>
    <row r="112">
      <c r="A112" s="73"/>
      <c r="B112" s="142"/>
      <c r="C112" s="73"/>
      <c r="D112" s="73"/>
      <c r="E112" s="14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row>
    <row r="113">
      <c r="A113" s="73"/>
      <c r="B113" s="142"/>
      <c r="C113" s="73"/>
      <c r="D113" s="73"/>
      <c r="E113" s="14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row>
    <row r="114">
      <c r="A114" s="73"/>
      <c r="B114" s="142"/>
      <c r="C114" s="73"/>
      <c r="D114" s="73"/>
      <c r="E114" s="14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row>
    <row r="115">
      <c r="A115" s="73"/>
      <c r="B115" s="142"/>
      <c r="C115" s="73"/>
      <c r="D115" s="73"/>
      <c r="E115" s="14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row>
    <row r="116">
      <c r="A116" s="73"/>
      <c r="B116" s="142"/>
      <c r="C116" s="73"/>
      <c r="D116" s="73"/>
      <c r="E116" s="14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row>
    <row r="117">
      <c r="A117" s="73"/>
      <c r="B117" s="142"/>
      <c r="C117" s="73"/>
      <c r="D117" s="73"/>
      <c r="E117" s="14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row>
    <row r="118">
      <c r="A118" s="73"/>
      <c r="B118" s="142"/>
      <c r="C118" s="73"/>
      <c r="D118" s="73"/>
      <c r="E118" s="14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row>
    <row r="119">
      <c r="A119" s="73"/>
      <c r="B119" s="142"/>
      <c r="C119" s="73"/>
      <c r="D119" s="73"/>
      <c r="E119" s="14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row>
    <row r="120">
      <c r="A120" s="73"/>
      <c r="B120" s="142"/>
      <c r="C120" s="73"/>
      <c r="D120" s="73"/>
      <c r="E120" s="14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row>
    <row r="121">
      <c r="A121" s="73"/>
      <c r="B121" s="142"/>
      <c r="C121" s="73"/>
      <c r="D121" s="73"/>
      <c r="E121" s="14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row>
    <row r="122">
      <c r="A122" s="73"/>
      <c r="B122" s="142"/>
      <c r="C122" s="73"/>
      <c r="D122" s="73"/>
      <c r="E122" s="14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row>
    <row r="123">
      <c r="A123" s="73"/>
      <c r="B123" s="142"/>
      <c r="C123" s="73"/>
      <c r="D123" s="73"/>
      <c r="E123" s="14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row>
    <row r="124">
      <c r="A124" s="73"/>
      <c r="B124" s="142"/>
      <c r="C124" s="73"/>
      <c r="D124" s="73"/>
      <c r="E124" s="14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row>
    <row r="125">
      <c r="A125" s="73"/>
      <c r="B125" s="142"/>
      <c r="C125" s="73"/>
      <c r="D125" s="73"/>
      <c r="E125" s="14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row>
    <row r="126">
      <c r="A126" s="73"/>
      <c r="B126" s="142"/>
      <c r="C126" s="73"/>
      <c r="D126" s="73"/>
      <c r="E126" s="14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row>
    <row r="127">
      <c r="A127" s="73"/>
      <c r="B127" s="142"/>
      <c r="C127" s="73"/>
      <c r="D127" s="73"/>
      <c r="E127" s="14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row>
    <row r="128">
      <c r="A128" s="73"/>
      <c r="B128" s="142"/>
      <c r="C128" s="73"/>
      <c r="D128" s="73"/>
      <c r="E128" s="14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row>
    <row r="129">
      <c r="A129" s="73"/>
      <c r="B129" s="142"/>
      <c r="C129" s="73"/>
      <c r="D129" s="73"/>
      <c r="E129" s="14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row>
    <row r="130">
      <c r="A130" s="73"/>
      <c r="B130" s="142"/>
      <c r="C130" s="73"/>
      <c r="D130" s="73"/>
      <c r="E130" s="14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row>
    <row r="131">
      <c r="A131" s="73"/>
      <c r="B131" s="142"/>
      <c r="C131" s="73"/>
      <c r="D131" s="73"/>
      <c r="E131" s="14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row>
    <row r="132">
      <c r="A132" s="73"/>
      <c r="B132" s="142"/>
      <c r="C132" s="73"/>
      <c r="D132" s="73"/>
      <c r="E132" s="14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row>
    <row r="133">
      <c r="A133" s="73"/>
      <c r="B133" s="142"/>
      <c r="C133" s="73"/>
      <c r="D133" s="73"/>
      <c r="E133" s="14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row>
    <row r="134">
      <c r="A134" s="73"/>
      <c r="B134" s="142"/>
      <c r="C134" s="73"/>
      <c r="D134" s="73"/>
      <c r="E134" s="14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row>
    <row r="135">
      <c r="A135" s="73"/>
      <c r="B135" s="142"/>
      <c r="C135" s="73"/>
      <c r="D135" s="73"/>
      <c r="E135" s="14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row>
    <row r="136">
      <c r="A136" s="73"/>
      <c r="B136" s="142"/>
      <c r="C136" s="73"/>
      <c r="D136" s="73"/>
      <c r="E136" s="14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row>
    <row r="137">
      <c r="A137" s="73"/>
      <c r="B137" s="142"/>
      <c r="C137" s="73"/>
      <c r="D137" s="73"/>
      <c r="E137" s="14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row>
    <row r="138">
      <c r="A138" s="73"/>
      <c r="B138" s="142"/>
      <c r="C138" s="73"/>
      <c r="D138" s="73"/>
      <c r="E138" s="14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row>
    <row r="139">
      <c r="A139" s="73"/>
      <c r="B139" s="142"/>
      <c r="C139" s="73"/>
      <c r="D139" s="73"/>
      <c r="E139" s="14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row>
    <row r="140">
      <c r="A140" s="73"/>
      <c r="B140" s="142"/>
      <c r="C140" s="73"/>
      <c r="D140" s="73"/>
      <c r="E140" s="14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row>
    <row r="141">
      <c r="A141" s="73"/>
      <c r="B141" s="142"/>
      <c r="C141" s="73"/>
      <c r="D141" s="73"/>
      <c r="E141" s="14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row>
    <row r="142">
      <c r="A142" s="73"/>
      <c r="B142" s="142"/>
      <c r="C142" s="73"/>
      <c r="D142" s="73"/>
      <c r="E142" s="14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row>
    <row r="143">
      <c r="A143" s="73"/>
      <c r="B143" s="142"/>
      <c r="C143" s="73"/>
      <c r="D143" s="73"/>
      <c r="E143" s="14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row>
    <row r="144">
      <c r="A144" s="73"/>
      <c r="B144" s="142"/>
      <c r="C144" s="73"/>
      <c r="D144" s="73"/>
      <c r="E144" s="14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row>
    <row r="145">
      <c r="A145" s="73"/>
      <c r="B145" s="142"/>
      <c r="C145" s="73"/>
      <c r="D145" s="73"/>
      <c r="E145" s="14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row>
    <row r="146">
      <c r="A146" s="73"/>
      <c r="B146" s="142"/>
      <c r="C146" s="73"/>
      <c r="D146" s="73"/>
      <c r="E146" s="14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row>
    <row r="147">
      <c r="A147" s="73"/>
      <c r="B147" s="142"/>
      <c r="C147" s="73"/>
      <c r="D147" s="73"/>
      <c r="E147" s="14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row>
    <row r="148">
      <c r="A148" s="73"/>
      <c r="B148" s="142"/>
      <c r="C148" s="73"/>
      <c r="D148" s="73"/>
      <c r="E148" s="14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row>
    <row r="149">
      <c r="A149" s="73"/>
      <c r="B149" s="142"/>
      <c r="C149" s="73"/>
      <c r="D149" s="73"/>
      <c r="E149" s="14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row>
    <row r="150">
      <c r="A150" s="73"/>
      <c r="B150" s="142"/>
      <c r="C150" s="73"/>
      <c r="D150" s="73"/>
      <c r="E150" s="14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row>
    <row r="151">
      <c r="A151" s="73"/>
      <c r="B151" s="142"/>
      <c r="C151" s="73"/>
      <c r="D151" s="73"/>
      <c r="E151" s="14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row>
    <row r="152">
      <c r="A152" s="73"/>
      <c r="B152" s="142"/>
      <c r="C152" s="73"/>
      <c r="D152" s="73"/>
      <c r="E152" s="14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row>
    <row r="153">
      <c r="A153" s="73"/>
      <c r="B153" s="142"/>
      <c r="C153" s="73"/>
      <c r="D153" s="73"/>
      <c r="E153" s="14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row>
    <row r="154">
      <c r="A154" s="73"/>
      <c r="B154" s="142"/>
      <c r="C154" s="73"/>
      <c r="D154" s="73"/>
      <c r="E154" s="14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row>
    <row r="155">
      <c r="A155" s="73"/>
      <c r="B155" s="142"/>
      <c r="C155" s="73"/>
      <c r="D155" s="73"/>
      <c r="E155" s="14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row>
    <row r="156">
      <c r="A156" s="73"/>
      <c r="B156" s="142"/>
      <c r="C156" s="73"/>
      <c r="D156" s="73"/>
      <c r="E156" s="14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row>
    <row r="157">
      <c r="A157" s="73"/>
      <c r="B157" s="142"/>
      <c r="C157" s="73"/>
      <c r="D157" s="73"/>
      <c r="E157" s="14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row>
    <row r="158">
      <c r="A158" s="73"/>
      <c r="B158" s="142"/>
      <c r="C158" s="73"/>
      <c r="D158" s="73"/>
      <c r="E158" s="14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row>
    <row r="159">
      <c r="A159" s="73"/>
      <c r="B159" s="142"/>
      <c r="C159" s="73"/>
      <c r="D159" s="73"/>
      <c r="E159" s="14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row>
    <row r="160">
      <c r="A160" s="73"/>
      <c r="B160" s="142"/>
      <c r="C160" s="73"/>
      <c r="D160" s="73"/>
      <c r="E160" s="14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row>
    <row r="161">
      <c r="A161" s="73"/>
      <c r="B161" s="142"/>
      <c r="C161" s="73"/>
      <c r="D161" s="73"/>
      <c r="E161" s="14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row>
    <row r="162">
      <c r="A162" s="73"/>
      <c r="B162" s="142"/>
      <c r="C162" s="73"/>
      <c r="D162" s="73"/>
      <c r="E162" s="14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row>
    <row r="163">
      <c r="A163" s="73"/>
      <c r="B163" s="142"/>
      <c r="C163" s="73"/>
      <c r="D163" s="73"/>
      <c r="E163" s="14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row>
    <row r="164">
      <c r="A164" s="73"/>
      <c r="B164" s="142"/>
      <c r="C164" s="73"/>
      <c r="D164" s="73"/>
      <c r="E164" s="14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row>
    <row r="165">
      <c r="A165" s="73"/>
      <c r="B165" s="142"/>
      <c r="C165" s="73"/>
      <c r="D165" s="73"/>
      <c r="E165" s="14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row>
    <row r="166">
      <c r="A166" s="73"/>
      <c r="B166" s="142"/>
      <c r="C166" s="73"/>
      <c r="D166" s="73"/>
      <c r="E166" s="14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row>
    <row r="167">
      <c r="A167" s="73"/>
      <c r="B167" s="142"/>
      <c r="C167" s="73"/>
      <c r="D167" s="73"/>
      <c r="E167" s="14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row>
    <row r="168">
      <c r="A168" s="73"/>
      <c r="B168" s="142"/>
      <c r="C168" s="73"/>
      <c r="D168" s="73"/>
      <c r="E168" s="14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row>
    <row r="169">
      <c r="A169" s="73"/>
      <c r="B169" s="142"/>
      <c r="C169" s="73"/>
      <c r="D169" s="73"/>
      <c r="E169" s="14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row>
    <row r="170">
      <c r="A170" s="73"/>
      <c r="B170" s="142"/>
      <c r="C170" s="73"/>
      <c r="D170" s="73"/>
      <c r="E170" s="14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row>
    <row r="171">
      <c r="A171" s="73"/>
      <c r="B171" s="142"/>
      <c r="C171" s="73"/>
      <c r="D171" s="73"/>
      <c r="E171" s="14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row>
    <row r="172">
      <c r="A172" s="73"/>
      <c r="B172" s="142"/>
      <c r="C172" s="73"/>
      <c r="D172" s="73"/>
      <c r="E172" s="14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row>
    <row r="173">
      <c r="A173" s="73"/>
      <c r="B173" s="142"/>
      <c r="C173" s="73"/>
      <c r="D173" s="73"/>
      <c r="E173" s="14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row>
    <row r="174">
      <c r="A174" s="73"/>
      <c r="B174" s="142"/>
      <c r="C174" s="73"/>
      <c r="D174" s="73"/>
      <c r="E174" s="14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row>
    <row r="175">
      <c r="A175" s="73"/>
      <c r="B175" s="142"/>
      <c r="C175" s="73"/>
      <c r="D175" s="73"/>
      <c r="E175" s="14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row>
    <row r="176">
      <c r="A176" s="73"/>
      <c r="B176" s="142"/>
      <c r="C176" s="73"/>
      <c r="D176" s="73"/>
      <c r="E176" s="14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row>
    <row r="177">
      <c r="A177" s="73"/>
      <c r="B177" s="142"/>
      <c r="C177" s="73"/>
      <c r="D177" s="73"/>
      <c r="E177" s="14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row>
    <row r="178">
      <c r="A178" s="73"/>
      <c r="B178" s="142"/>
      <c r="C178" s="73"/>
      <c r="D178" s="73"/>
      <c r="E178" s="14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row>
    <row r="179">
      <c r="A179" s="73"/>
      <c r="B179" s="142"/>
      <c r="C179" s="73"/>
      <c r="D179" s="73"/>
      <c r="E179" s="14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row>
    <row r="180">
      <c r="A180" s="73"/>
      <c r="B180" s="142"/>
      <c r="C180" s="73"/>
      <c r="D180" s="73"/>
      <c r="E180" s="14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row>
    <row r="181">
      <c r="A181" s="73"/>
      <c r="B181" s="142"/>
      <c r="C181" s="73"/>
      <c r="D181" s="73"/>
      <c r="E181" s="14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row>
    <row r="182">
      <c r="A182" s="73"/>
      <c r="B182" s="142"/>
      <c r="C182" s="73"/>
      <c r="D182" s="73"/>
      <c r="E182" s="14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row>
    <row r="183">
      <c r="A183" s="73"/>
      <c r="B183" s="142"/>
      <c r="C183" s="73"/>
      <c r="D183" s="73"/>
      <c r="E183" s="14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row>
    <row r="184">
      <c r="A184" s="73"/>
      <c r="B184" s="142"/>
      <c r="C184" s="73"/>
      <c r="D184" s="73"/>
      <c r="E184" s="14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row>
    <row r="185">
      <c r="A185" s="73"/>
      <c r="B185" s="142"/>
      <c r="C185" s="73"/>
      <c r="D185" s="73"/>
      <c r="E185" s="14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row>
    <row r="186">
      <c r="A186" s="73"/>
      <c r="B186" s="142"/>
      <c r="C186" s="73"/>
      <c r="D186" s="73"/>
      <c r="E186" s="14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row>
    <row r="187">
      <c r="A187" s="73"/>
      <c r="B187" s="142"/>
      <c r="C187" s="73"/>
      <c r="D187" s="73"/>
      <c r="E187" s="14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row>
    <row r="188">
      <c r="A188" s="73"/>
      <c r="B188" s="142"/>
      <c r="C188" s="73"/>
      <c r="D188" s="73"/>
      <c r="E188" s="14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row>
    <row r="189">
      <c r="A189" s="73"/>
      <c r="B189" s="142"/>
      <c r="C189" s="73"/>
      <c r="D189" s="73"/>
      <c r="E189" s="14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row>
    <row r="190">
      <c r="A190" s="73"/>
      <c r="B190" s="142"/>
      <c r="C190" s="73"/>
      <c r="D190" s="73"/>
      <c r="E190" s="14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row>
    <row r="191">
      <c r="A191" s="73"/>
      <c r="B191" s="142"/>
      <c r="C191" s="73"/>
      <c r="D191" s="73"/>
      <c r="E191" s="14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row>
    <row r="192">
      <c r="A192" s="73"/>
      <c r="B192" s="142"/>
      <c r="C192" s="73"/>
      <c r="D192" s="73"/>
      <c r="E192" s="14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row>
    <row r="193">
      <c r="A193" s="73"/>
      <c r="B193" s="142"/>
      <c r="C193" s="73"/>
      <c r="D193" s="73"/>
      <c r="E193" s="14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row>
    <row r="194">
      <c r="A194" s="73"/>
      <c r="B194" s="142"/>
      <c r="C194" s="73"/>
      <c r="D194" s="73"/>
      <c r="E194" s="14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row>
    <row r="195">
      <c r="A195" s="73"/>
      <c r="B195" s="142"/>
      <c r="C195" s="73"/>
      <c r="D195" s="73"/>
      <c r="E195" s="14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row>
    <row r="196">
      <c r="A196" s="73"/>
      <c r="B196" s="142"/>
      <c r="C196" s="73"/>
      <c r="D196" s="73"/>
      <c r="E196" s="14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row>
    <row r="197">
      <c r="A197" s="73"/>
      <c r="B197" s="142"/>
      <c r="C197" s="73"/>
      <c r="D197" s="73"/>
      <c r="E197" s="14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row>
    <row r="198">
      <c r="A198" s="73"/>
      <c r="B198" s="142"/>
      <c r="C198" s="73"/>
      <c r="D198" s="73"/>
      <c r="E198" s="14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row>
    <row r="199">
      <c r="A199" s="73"/>
      <c r="B199" s="142"/>
      <c r="C199" s="73"/>
      <c r="D199" s="73"/>
      <c r="E199" s="14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row>
    <row r="200">
      <c r="A200" s="73"/>
      <c r="B200" s="142"/>
      <c r="C200" s="73"/>
      <c r="D200" s="73"/>
      <c r="E200" s="14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row>
    <row r="201">
      <c r="A201" s="73"/>
      <c r="B201" s="142"/>
      <c r="C201" s="73"/>
      <c r="D201" s="73"/>
      <c r="E201" s="14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row>
    <row r="202">
      <c r="A202" s="73"/>
      <c r="B202" s="142"/>
      <c r="C202" s="73"/>
      <c r="D202" s="73"/>
      <c r="E202" s="14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row>
    <row r="203">
      <c r="A203" s="73"/>
      <c r="B203" s="142"/>
      <c r="C203" s="73"/>
      <c r="D203" s="73"/>
      <c r="E203" s="14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row>
    <row r="204">
      <c r="A204" s="73"/>
      <c r="B204" s="142"/>
      <c r="C204" s="73"/>
      <c r="D204" s="73"/>
      <c r="E204" s="14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row>
    <row r="205">
      <c r="A205" s="73"/>
      <c r="B205" s="142"/>
      <c r="C205" s="73"/>
      <c r="D205" s="73"/>
      <c r="E205" s="14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row>
    <row r="206">
      <c r="A206" s="73"/>
      <c r="B206" s="142"/>
      <c r="C206" s="73"/>
      <c r="D206" s="73"/>
      <c r="E206" s="14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row>
    <row r="207">
      <c r="A207" s="73"/>
      <c r="B207" s="142"/>
      <c r="C207" s="73"/>
      <c r="D207" s="73"/>
      <c r="E207" s="14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row>
    <row r="208">
      <c r="A208" s="73"/>
      <c r="B208" s="142"/>
      <c r="C208" s="73"/>
      <c r="D208" s="73"/>
      <c r="E208" s="14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row>
    <row r="209">
      <c r="A209" s="73"/>
      <c r="B209" s="142"/>
      <c r="C209" s="73"/>
      <c r="D209" s="73"/>
      <c r="E209" s="14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row>
    <row r="210">
      <c r="A210" s="73"/>
      <c r="B210" s="142"/>
      <c r="C210" s="73"/>
      <c r="D210" s="73"/>
      <c r="E210" s="14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row>
    <row r="211">
      <c r="A211" s="73"/>
      <c r="B211" s="142"/>
      <c r="C211" s="73"/>
      <c r="D211" s="73"/>
      <c r="E211" s="14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row>
    <row r="212">
      <c r="A212" s="73"/>
      <c r="B212" s="142"/>
      <c r="C212" s="73"/>
      <c r="D212" s="73"/>
      <c r="E212" s="14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row>
    <row r="213">
      <c r="A213" s="73"/>
      <c r="B213" s="142"/>
      <c r="C213" s="73"/>
      <c r="D213" s="73"/>
      <c r="E213" s="14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row>
    <row r="214">
      <c r="A214" s="73"/>
      <c r="B214" s="142"/>
      <c r="C214" s="73"/>
      <c r="D214" s="73"/>
      <c r="E214" s="14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row>
    <row r="215">
      <c r="A215" s="73"/>
      <c r="B215" s="142"/>
      <c r="C215" s="73"/>
      <c r="D215" s="73"/>
      <c r="E215" s="14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row>
    <row r="216">
      <c r="A216" s="73"/>
      <c r="B216" s="142"/>
      <c r="C216" s="73"/>
      <c r="D216" s="73"/>
      <c r="E216" s="14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row>
    <row r="217">
      <c r="A217" s="73"/>
      <c r="B217" s="142"/>
      <c r="C217" s="73"/>
      <c r="D217" s="73"/>
      <c r="E217" s="14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row>
    <row r="218">
      <c r="A218" s="73"/>
      <c r="B218" s="142"/>
      <c r="C218" s="73"/>
      <c r="D218" s="73"/>
      <c r="E218" s="14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row>
    <row r="219">
      <c r="A219" s="73"/>
      <c r="B219" s="142"/>
      <c r="C219" s="73"/>
      <c r="D219" s="73"/>
      <c r="E219" s="14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row>
    <row r="220">
      <c r="A220" s="73"/>
      <c r="B220" s="142"/>
      <c r="C220" s="73"/>
      <c r="D220" s="73"/>
      <c r="E220" s="14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row>
    <row r="221">
      <c r="A221" s="73"/>
      <c r="B221" s="142"/>
      <c r="C221" s="73"/>
      <c r="D221" s="73"/>
      <c r="E221" s="14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c r="AC221" s="73"/>
    </row>
    <row r="222">
      <c r="A222" s="73"/>
      <c r="B222" s="142"/>
      <c r="C222" s="73"/>
      <c r="D222" s="73"/>
      <c r="E222" s="14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row>
    <row r="223">
      <c r="A223" s="73"/>
      <c r="B223" s="142"/>
      <c r="C223" s="73"/>
      <c r="D223" s="73"/>
      <c r="E223" s="14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row>
    <row r="224">
      <c r="A224" s="73"/>
      <c r="B224" s="142"/>
      <c r="C224" s="73"/>
      <c r="D224" s="73"/>
      <c r="E224" s="14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c r="AC224" s="73"/>
    </row>
    <row r="225">
      <c r="A225" s="73"/>
      <c r="B225" s="142"/>
      <c r="C225" s="73"/>
      <c r="D225" s="73"/>
      <c r="E225" s="14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c r="AC225" s="73"/>
    </row>
    <row r="226">
      <c r="A226" s="73"/>
      <c r="B226" s="142"/>
      <c r="C226" s="73"/>
      <c r="D226" s="73"/>
      <c r="E226" s="14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c r="AC226" s="73"/>
    </row>
    <row r="227">
      <c r="A227" s="73"/>
      <c r="B227" s="142"/>
      <c r="C227" s="73"/>
      <c r="D227" s="73"/>
      <c r="E227" s="14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row>
    <row r="228">
      <c r="A228" s="73"/>
      <c r="B228" s="142"/>
      <c r="C228" s="73"/>
      <c r="D228" s="73"/>
      <c r="E228" s="14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row>
    <row r="229">
      <c r="A229" s="73"/>
      <c r="B229" s="142"/>
      <c r="C229" s="73"/>
      <c r="D229" s="73"/>
      <c r="E229" s="14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c r="AC229" s="73"/>
    </row>
    <row r="230">
      <c r="A230" s="73"/>
      <c r="B230" s="142"/>
      <c r="C230" s="73"/>
      <c r="D230" s="73"/>
      <c r="E230" s="14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c r="AC230" s="73"/>
    </row>
    <row r="231">
      <c r="A231" s="73"/>
      <c r="B231" s="142"/>
      <c r="C231" s="73"/>
      <c r="D231" s="73"/>
      <c r="E231" s="14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row>
    <row r="232">
      <c r="A232" s="73"/>
      <c r="B232" s="142"/>
      <c r="C232" s="73"/>
      <c r="D232" s="73"/>
      <c r="E232" s="14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c r="AC232" s="73"/>
    </row>
    <row r="233">
      <c r="A233" s="73"/>
      <c r="B233" s="142"/>
      <c r="C233" s="73"/>
      <c r="D233" s="73"/>
      <c r="E233" s="14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c r="AC233" s="73"/>
    </row>
    <row r="234">
      <c r="A234" s="73"/>
      <c r="B234" s="142"/>
      <c r="C234" s="73"/>
      <c r="D234" s="73"/>
      <c r="E234" s="14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c r="AC234" s="73"/>
    </row>
    <row r="235">
      <c r="A235" s="73"/>
      <c r="B235" s="142"/>
      <c r="C235" s="73"/>
      <c r="D235" s="73"/>
      <c r="E235" s="14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c r="AC235" s="73"/>
    </row>
    <row r="236">
      <c r="A236" s="73"/>
      <c r="B236" s="142"/>
      <c r="C236" s="73"/>
      <c r="D236" s="73"/>
      <c r="E236" s="14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c r="AC236" s="73"/>
    </row>
    <row r="237">
      <c r="A237" s="73"/>
      <c r="B237" s="142"/>
      <c r="C237" s="73"/>
      <c r="D237" s="73"/>
      <c r="E237" s="14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c r="AC237" s="73"/>
    </row>
    <row r="238">
      <c r="A238" s="73"/>
      <c r="B238" s="142"/>
      <c r="C238" s="73"/>
      <c r="D238" s="73"/>
      <c r="E238" s="14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c r="AC238" s="73"/>
    </row>
    <row r="239">
      <c r="A239" s="73"/>
      <c r="B239" s="142"/>
      <c r="C239" s="73"/>
      <c r="D239" s="73"/>
      <c r="E239" s="14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c r="AC239" s="73"/>
    </row>
    <row r="240">
      <c r="A240" s="73"/>
      <c r="B240" s="142"/>
      <c r="C240" s="73"/>
      <c r="D240" s="73"/>
      <c r="E240" s="14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c r="AC240" s="73"/>
    </row>
    <row r="241">
      <c r="A241" s="73"/>
      <c r="B241" s="142"/>
      <c r="C241" s="73"/>
      <c r="D241" s="73"/>
      <c r="E241" s="14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c r="AC241" s="73"/>
    </row>
    <row r="242">
      <c r="A242" s="73"/>
      <c r="B242" s="142"/>
      <c r="C242" s="73"/>
      <c r="D242" s="73"/>
      <c r="E242" s="14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c r="AC242" s="73"/>
    </row>
    <row r="243">
      <c r="A243" s="73"/>
      <c r="B243" s="142"/>
      <c r="C243" s="73"/>
      <c r="D243" s="73"/>
      <c r="E243" s="14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c r="AC243" s="73"/>
    </row>
    <row r="244">
      <c r="A244" s="73"/>
      <c r="B244" s="142"/>
      <c r="C244" s="73"/>
      <c r="D244" s="73"/>
      <c r="E244" s="14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row>
    <row r="245">
      <c r="A245" s="73"/>
      <c r="B245" s="142"/>
      <c r="C245" s="73"/>
      <c r="D245" s="73"/>
      <c r="E245" s="14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c r="AC245" s="73"/>
    </row>
    <row r="246">
      <c r="A246" s="73"/>
      <c r="B246" s="142"/>
      <c r="C246" s="73"/>
      <c r="D246" s="73"/>
      <c r="E246" s="14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c r="AC246" s="73"/>
    </row>
    <row r="247">
      <c r="A247" s="73"/>
      <c r="B247" s="142"/>
      <c r="C247" s="73"/>
      <c r="D247" s="73"/>
      <c r="E247" s="14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c r="AC247" s="73"/>
    </row>
    <row r="248">
      <c r="A248" s="73"/>
      <c r="B248" s="142"/>
      <c r="C248" s="73"/>
      <c r="D248" s="73"/>
      <c r="E248" s="14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c r="AC248" s="73"/>
    </row>
    <row r="249">
      <c r="A249" s="73"/>
      <c r="B249" s="142"/>
      <c r="C249" s="73"/>
      <c r="D249" s="73"/>
      <c r="E249" s="14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c r="AC249" s="73"/>
    </row>
    <row r="250">
      <c r="A250" s="73"/>
      <c r="B250" s="142"/>
      <c r="C250" s="73"/>
      <c r="D250" s="73"/>
      <c r="E250" s="14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c r="AC250" s="73"/>
    </row>
    <row r="251">
      <c r="A251" s="73"/>
      <c r="B251" s="142"/>
      <c r="C251" s="73"/>
      <c r="D251" s="73"/>
      <c r="E251" s="14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c r="AC251" s="73"/>
    </row>
    <row r="252">
      <c r="A252" s="73"/>
      <c r="B252" s="142"/>
      <c r="C252" s="73"/>
      <c r="D252" s="73"/>
      <c r="E252" s="14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c r="AC252" s="73"/>
    </row>
    <row r="253">
      <c r="A253" s="73"/>
      <c r="B253" s="142"/>
      <c r="C253" s="73"/>
      <c r="D253" s="73"/>
      <c r="E253" s="14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row>
    <row r="254">
      <c r="A254" s="73"/>
      <c r="B254" s="142"/>
      <c r="C254" s="73"/>
      <c r="D254" s="73"/>
      <c r="E254" s="14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row>
    <row r="255">
      <c r="A255" s="73"/>
      <c r="B255" s="142"/>
      <c r="C255" s="73"/>
      <c r="D255" s="73"/>
      <c r="E255" s="14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c r="AC255" s="73"/>
    </row>
    <row r="256">
      <c r="A256" s="73"/>
      <c r="B256" s="142"/>
      <c r="C256" s="73"/>
      <c r="D256" s="73"/>
      <c r="E256" s="14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c r="AC256" s="73"/>
    </row>
    <row r="257">
      <c r="A257" s="73"/>
      <c r="B257" s="142"/>
      <c r="C257" s="73"/>
      <c r="D257" s="73"/>
      <c r="E257" s="14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c r="AC257" s="73"/>
    </row>
    <row r="258">
      <c r="A258" s="73"/>
      <c r="B258" s="142"/>
      <c r="C258" s="73"/>
      <c r="D258" s="73"/>
      <c r="E258" s="14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c r="AC258" s="73"/>
    </row>
    <row r="259">
      <c r="A259" s="73"/>
      <c r="B259" s="142"/>
      <c r="C259" s="73"/>
      <c r="D259" s="73"/>
      <c r="E259" s="14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c r="AC259" s="73"/>
    </row>
    <row r="260">
      <c r="A260" s="73"/>
      <c r="B260" s="142"/>
      <c r="C260" s="73"/>
      <c r="D260" s="73"/>
      <c r="E260" s="14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c r="AC260" s="73"/>
    </row>
    <row r="261">
      <c r="A261" s="73"/>
      <c r="B261" s="142"/>
      <c r="C261" s="73"/>
      <c r="D261" s="73"/>
      <c r="E261" s="14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row>
    <row r="262">
      <c r="A262" s="73"/>
      <c r="B262" s="142"/>
      <c r="C262" s="73"/>
      <c r="D262" s="73"/>
      <c r="E262" s="14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c r="AC262" s="73"/>
    </row>
    <row r="263">
      <c r="A263" s="73"/>
      <c r="B263" s="142"/>
      <c r="C263" s="73"/>
      <c r="D263" s="73"/>
      <c r="E263" s="14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c r="AC263" s="73"/>
    </row>
    <row r="264">
      <c r="A264" s="73"/>
      <c r="B264" s="142"/>
      <c r="C264" s="73"/>
      <c r="D264" s="73"/>
      <c r="E264" s="14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c r="AC264" s="73"/>
    </row>
    <row r="265">
      <c r="A265" s="73"/>
      <c r="B265" s="142"/>
      <c r="C265" s="73"/>
      <c r="D265" s="73"/>
      <c r="E265" s="14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c r="AC265" s="73"/>
    </row>
    <row r="266">
      <c r="A266" s="73"/>
      <c r="B266" s="142"/>
      <c r="C266" s="73"/>
      <c r="D266" s="73"/>
      <c r="E266" s="14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c r="AC266" s="73"/>
    </row>
    <row r="267">
      <c r="A267" s="73"/>
      <c r="B267" s="142"/>
      <c r="C267" s="73"/>
      <c r="D267" s="73"/>
      <c r="E267" s="14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c r="AC267" s="73"/>
    </row>
    <row r="268">
      <c r="A268" s="73"/>
      <c r="B268" s="142"/>
      <c r="C268" s="73"/>
      <c r="D268" s="73"/>
      <c r="E268" s="14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c r="AC268" s="73"/>
    </row>
    <row r="269">
      <c r="A269" s="73"/>
      <c r="B269" s="142"/>
      <c r="C269" s="73"/>
      <c r="D269" s="73"/>
      <c r="E269" s="14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c r="AC269" s="73"/>
    </row>
    <row r="270">
      <c r="A270" s="73"/>
      <c r="B270" s="142"/>
      <c r="C270" s="73"/>
      <c r="D270" s="73"/>
      <c r="E270" s="14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c r="AC270" s="73"/>
    </row>
    <row r="271">
      <c r="A271" s="73"/>
      <c r="B271" s="142"/>
      <c r="C271" s="73"/>
      <c r="D271" s="73"/>
      <c r="E271" s="14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c r="AC271" s="73"/>
    </row>
    <row r="272">
      <c r="A272" s="73"/>
      <c r="B272" s="142"/>
      <c r="C272" s="73"/>
      <c r="D272" s="73"/>
      <c r="E272" s="14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c r="AC272" s="73"/>
    </row>
    <row r="273">
      <c r="A273" s="73"/>
      <c r="B273" s="142"/>
      <c r="C273" s="73"/>
      <c r="D273" s="73"/>
      <c r="E273" s="14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row>
    <row r="274">
      <c r="A274" s="73"/>
      <c r="B274" s="142"/>
      <c r="C274" s="73"/>
      <c r="D274" s="73"/>
      <c r="E274" s="14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row>
    <row r="275">
      <c r="A275" s="73"/>
      <c r="B275" s="142"/>
      <c r="C275" s="73"/>
      <c r="D275" s="73"/>
      <c r="E275" s="14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row>
    <row r="276">
      <c r="A276" s="73"/>
      <c r="B276" s="142"/>
      <c r="C276" s="73"/>
      <c r="D276" s="73"/>
      <c r="E276" s="14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c r="AC276" s="73"/>
    </row>
    <row r="277">
      <c r="A277" s="73"/>
      <c r="B277" s="142"/>
      <c r="C277" s="73"/>
      <c r="D277" s="73"/>
      <c r="E277" s="14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c r="AC277" s="73"/>
    </row>
    <row r="278">
      <c r="A278" s="73"/>
      <c r="B278" s="142"/>
      <c r="C278" s="73"/>
      <c r="D278" s="73"/>
      <c r="E278" s="14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row>
    <row r="279">
      <c r="A279" s="73"/>
      <c r="B279" s="142"/>
      <c r="C279" s="73"/>
      <c r="D279" s="73"/>
      <c r="E279" s="14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c r="AC279" s="73"/>
    </row>
    <row r="280">
      <c r="A280" s="73"/>
      <c r="B280" s="142"/>
      <c r="C280" s="73"/>
      <c r="D280" s="73"/>
      <c r="E280" s="14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c r="AC280" s="73"/>
    </row>
    <row r="281">
      <c r="A281" s="73"/>
      <c r="B281" s="142"/>
      <c r="C281" s="73"/>
      <c r="D281" s="73"/>
      <c r="E281" s="14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c r="AC281" s="73"/>
    </row>
    <row r="282">
      <c r="A282" s="73"/>
      <c r="B282" s="142"/>
      <c r="C282" s="73"/>
      <c r="D282" s="73"/>
      <c r="E282" s="14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c r="AC282" s="73"/>
    </row>
    <row r="283">
      <c r="A283" s="73"/>
      <c r="B283" s="142"/>
      <c r="C283" s="73"/>
      <c r="D283" s="73"/>
      <c r="E283" s="14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c r="AC283" s="73"/>
    </row>
    <row r="284">
      <c r="A284" s="73"/>
      <c r="B284" s="142"/>
      <c r="C284" s="73"/>
      <c r="D284" s="73"/>
      <c r="E284" s="14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c r="AC284" s="73"/>
    </row>
    <row r="285">
      <c r="A285" s="73"/>
      <c r="B285" s="142"/>
      <c r="C285" s="73"/>
      <c r="D285" s="73"/>
      <c r="E285" s="14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c r="AC285" s="73"/>
    </row>
    <row r="286">
      <c r="A286" s="73"/>
      <c r="B286" s="142"/>
      <c r="C286" s="73"/>
      <c r="D286" s="73"/>
      <c r="E286" s="14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c r="AC286" s="73"/>
    </row>
    <row r="287">
      <c r="A287" s="73"/>
      <c r="B287" s="142"/>
      <c r="C287" s="73"/>
      <c r="D287" s="73"/>
      <c r="E287" s="14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c r="AC287" s="73"/>
    </row>
    <row r="288">
      <c r="A288" s="73"/>
      <c r="B288" s="142"/>
      <c r="C288" s="73"/>
      <c r="D288" s="73"/>
      <c r="E288" s="14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c r="AC288" s="73"/>
    </row>
    <row r="289">
      <c r="A289" s="73"/>
      <c r="B289" s="142"/>
      <c r="C289" s="73"/>
      <c r="D289" s="73"/>
      <c r="E289" s="14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row>
    <row r="290">
      <c r="A290" s="73"/>
      <c r="B290" s="142"/>
      <c r="C290" s="73"/>
      <c r="D290" s="73"/>
      <c r="E290" s="14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c r="AC290" s="73"/>
    </row>
    <row r="291">
      <c r="A291" s="73"/>
      <c r="B291" s="142"/>
      <c r="C291" s="73"/>
      <c r="D291" s="73"/>
      <c r="E291" s="14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c r="AC291" s="73"/>
    </row>
    <row r="292">
      <c r="A292" s="73"/>
      <c r="B292" s="142"/>
      <c r="C292" s="73"/>
      <c r="D292" s="73"/>
      <c r="E292" s="14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c r="AC292" s="73"/>
    </row>
    <row r="293">
      <c r="A293" s="73"/>
      <c r="B293" s="142"/>
      <c r="C293" s="73"/>
      <c r="D293" s="73"/>
      <c r="E293" s="14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c r="AC293" s="73"/>
    </row>
    <row r="294">
      <c r="A294" s="73"/>
      <c r="B294" s="142"/>
      <c r="C294" s="73"/>
      <c r="D294" s="73"/>
      <c r="E294" s="14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row>
    <row r="295">
      <c r="A295" s="73"/>
      <c r="B295" s="142"/>
      <c r="C295" s="73"/>
      <c r="D295" s="73"/>
      <c r="E295" s="14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c r="AC295" s="73"/>
    </row>
    <row r="296">
      <c r="A296" s="73"/>
      <c r="B296" s="142"/>
      <c r="C296" s="73"/>
      <c r="D296" s="73"/>
      <c r="E296" s="14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c r="AC296" s="73"/>
    </row>
    <row r="297">
      <c r="A297" s="73"/>
      <c r="B297" s="142"/>
      <c r="C297" s="73"/>
      <c r="D297" s="73"/>
      <c r="E297" s="14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row>
    <row r="298">
      <c r="A298" s="73"/>
      <c r="B298" s="142"/>
      <c r="C298" s="73"/>
      <c r="D298" s="73"/>
      <c r="E298" s="14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row>
    <row r="299">
      <c r="A299" s="73"/>
      <c r="B299" s="142"/>
      <c r="C299" s="73"/>
      <c r="D299" s="73"/>
      <c r="E299" s="14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row>
    <row r="300">
      <c r="A300" s="73"/>
      <c r="B300" s="142"/>
      <c r="C300" s="73"/>
      <c r="D300" s="73"/>
      <c r="E300" s="14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row>
    <row r="301">
      <c r="A301" s="73"/>
      <c r="B301" s="142"/>
      <c r="C301" s="73"/>
      <c r="D301" s="73"/>
      <c r="E301" s="14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row>
    <row r="302">
      <c r="A302" s="73"/>
      <c r="B302" s="142"/>
      <c r="C302" s="73"/>
      <c r="D302" s="73"/>
      <c r="E302" s="14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row>
    <row r="303">
      <c r="A303" s="73"/>
      <c r="B303" s="142"/>
      <c r="C303" s="73"/>
      <c r="D303" s="73"/>
      <c r="E303" s="14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c r="AC303" s="73"/>
    </row>
    <row r="304">
      <c r="A304" s="73"/>
      <c r="B304" s="142"/>
      <c r="C304" s="73"/>
      <c r="D304" s="73"/>
      <c r="E304" s="14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c r="AC304" s="73"/>
    </row>
    <row r="305">
      <c r="A305" s="73"/>
      <c r="B305" s="142"/>
      <c r="C305" s="73"/>
      <c r="D305" s="73"/>
      <c r="E305" s="14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c r="AC305" s="73"/>
    </row>
    <row r="306">
      <c r="A306" s="73"/>
      <c r="B306" s="142"/>
      <c r="C306" s="73"/>
      <c r="D306" s="73"/>
      <c r="E306" s="14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c r="AC306" s="73"/>
    </row>
    <row r="307">
      <c r="A307" s="73"/>
      <c r="B307" s="142"/>
      <c r="C307" s="73"/>
      <c r="D307" s="73"/>
      <c r="E307" s="14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c r="AC307" s="73"/>
    </row>
    <row r="308">
      <c r="A308" s="73"/>
      <c r="B308" s="142"/>
      <c r="C308" s="73"/>
      <c r="D308" s="73"/>
      <c r="E308" s="14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c r="AC308" s="73"/>
    </row>
    <row r="309">
      <c r="A309" s="73"/>
      <c r="B309" s="142"/>
      <c r="C309" s="73"/>
      <c r="D309" s="73"/>
      <c r="E309" s="14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row>
    <row r="310">
      <c r="A310" s="73"/>
      <c r="B310" s="142"/>
      <c r="C310" s="73"/>
      <c r="D310" s="73"/>
      <c r="E310" s="14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c r="AC310" s="73"/>
    </row>
    <row r="311">
      <c r="A311" s="73"/>
      <c r="B311" s="142"/>
      <c r="C311" s="73"/>
      <c r="D311" s="73"/>
      <c r="E311" s="14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c r="AC311" s="73"/>
    </row>
    <row r="312">
      <c r="A312" s="73"/>
      <c r="B312" s="142"/>
      <c r="C312" s="73"/>
      <c r="D312" s="73"/>
      <c r="E312" s="14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c r="AC312" s="73"/>
    </row>
    <row r="313">
      <c r="A313" s="73"/>
      <c r="B313" s="142"/>
      <c r="C313" s="73"/>
      <c r="D313" s="73"/>
      <c r="E313" s="14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c r="AC313" s="73"/>
    </row>
    <row r="314">
      <c r="A314" s="73"/>
      <c r="B314" s="142"/>
      <c r="C314" s="73"/>
      <c r="D314" s="73"/>
      <c r="E314" s="14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c r="AC314" s="73"/>
    </row>
    <row r="315">
      <c r="A315" s="73"/>
      <c r="B315" s="142"/>
      <c r="C315" s="73"/>
      <c r="D315" s="73"/>
      <c r="E315" s="14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c r="AC315" s="73"/>
    </row>
    <row r="316">
      <c r="A316" s="73"/>
      <c r="B316" s="142"/>
      <c r="C316" s="73"/>
      <c r="D316" s="73"/>
      <c r="E316" s="14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c r="AC316" s="73"/>
    </row>
    <row r="317">
      <c r="A317" s="73"/>
      <c r="B317" s="142"/>
      <c r="C317" s="73"/>
      <c r="D317" s="73"/>
      <c r="E317" s="14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c r="AC317" s="73"/>
    </row>
    <row r="318">
      <c r="A318" s="73"/>
      <c r="B318" s="142"/>
      <c r="C318" s="73"/>
      <c r="D318" s="73"/>
      <c r="E318" s="14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c r="AC318" s="73"/>
    </row>
    <row r="319">
      <c r="A319" s="73"/>
      <c r="B319" s="142"/>
      <c r="C319" s="73"/>
      <c r="D319" s="73"/>
      <c r="E319" s="14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c r="AC319" s="73"/>
    </row>
    <row r="320">
      <c r="A320" s="73"/>
      <c r="B320" s="142"/>
      <c r="C320" s="73"/>
      <c r="D320" s="73"/>
      <c r="E320" s="14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c r="AC320" s="73"/>
    </row>
    <row r="321">
      <c r="A321" s="73"/>
      <c r="B321" s="142"/>
      <c r="C321" s="73"/>
      <c r="D321" s="73"/>
      <c r="E321" s="14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c r="AC321" s="73"/>
    </row>
    <row r="322">
      <c r="A322" s="73"/>
      <c r="B322" s="142"/>
      <c r="C322" s="73"/>
      <c r="D322" s="73"/>
      <c r="E322" s="14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c r="AC322" s="73"/>
    </row>
    <row r="323">
      <c r="A323" s="73"/>
      <c r="B323" s="142"/>
      <c r="C323" s="73"/>
      <c r="D323" s="73"/>
      <c r="E323" s="14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row>
    <row r="324">
      <c r="A324" s="73"/>
      <c r="B324" s="142"/>
      <c r="C324" s="73"/>
      <c r="D324" s="73"/>
      <c r="E324" s="14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c r="AC324" s="73"/>
    </row>
    <row r="325">
      <c r="A325" s="73"/>
      <c r="B325" s="142"/>
      <c r="C325" s="73"/>
      <c r="D325" s="73"/>
      <c r="E325" s="14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c r="AC325" s="73"/>
    </row>
    <row r="326">
      <c r="A326" s="73"/>
      <c r="B326" s="142"/>
      <c r="C326" s="73"/>
      <c r="D326" s="73"/>
      <c r="E326" s="14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row>
    <row r="327">
      <c r="A327" s="73"/>
      <c r="B327" s="142"/>
      <c r="C327" s="73"/>
      <c r="D327" s="73"/>
      <c r="E327" s="14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c r="AC327" s="73"/>
    </row>
    <row r="328">
      <c r="A328" s="73"/>
      <c r="B328" s="142"/>
      <c r="C328" s="73"/>
      <c r="D328" s="73"/>
      <c r="E328" s="14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c r="AC328" s="73"/>
    </row>
    <row r="329">
      <c r="A329" s="73"/>
      <c r="B329" s="142"/>
      <c r="C329" s="73"/>
      <c r="D329" s="73"/>
      <c r="E329" s="14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c r="AC329" s="73"/>
    </row>
    <row r="330">
      <c r="A330" s="73"/>
      <c r="B330" s="142"/>
      <c r="C330" s="73"/>
      <c r="D330" s="73"/>
      <c r="E330" s="14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c r="AC330" s="73"/>
    </row>
    <row r="331">
      <c r="A331" s="73"/>
      <c r="B331" s="142"/>
      <c r="C331" s="73"/>
      <c r="D331" s="73"/>
      <c r="E331" s="14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c r="AC331" s="73"/>
    </row>
    <row r="332">
      <c r="A332" s="73"/>
      <c r="B332" s="142"/>
      <c r="C332" s="73"/>
      <c r="D332" s="73"/>
      <c r="E332" s="14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c r="AC332" s="73"/>
    </row>
    <row r="333">
      <c r="A333" s="73"/>
      <c r="B333" s="142"/>
      <c r="C333" s="73"/>
      <c r="D333" s="73"/>
      <c r="E333" s="14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c r="AC333" s="73"/>
    </row>
    <row r="334">
      <c r="A334" s="73"/>
      <c r="B334" s="142"/>
      <c r="C334" s="73"/>
      <c r="D334" s="73"/>
      <c r="E334" s="14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c r="AC334" s="73"/>
    </row>
    <row r="335">
      <c r="A335" s="73"/>
      <c r="B335" s="142"/>
      <c r="C335" s="73"/>
      <c r="D335" s="73"/>
      <c r="E335" s="14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c r="AC335" s="73"/>
    </row>
    <row r="336">
      <c r="A336" s="73"/>
      <c r="B336" s="142"/>
      <c r="C336" s="73"/>
      <c r="D336" s="73"/>
      <c r="E336" s="14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c r="AC336" s="73"/>
    </row>
    <row r="337">
      <c r="A337" s="73"/>
      <c r="B337" s="142"/>
      <c r="C337" s="73"/>
      <c r="D337" s="73"/>
      <c r="E337" s="14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row>
    <row r="338">
      <c r="A338" s="73"/>
      <c r="B338" s="142"/>
      <c r="C338" s="73"/>
      <c r="D338" s="73"/>
      <c r="E338" s="14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c r="AC338" s="73"/>
    </row>
    <row r="339">
      <c r="A339" s="73"/>
      <c r="B339" s="142"/>
      <c r="C339" s="73"/>
      <c r="D339" s="73"/>
      <c r="E339" s="14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c r="AC339" s="73"/>
    </row>
    <row r="340">
      <c r="A340" s="73"/>
      <c r="B340" s="142"/>
      <c r="C340" s="73"/>
      <c r="D340" s="73"/>
      <c r="E340" s="14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c r="AC340" s="73"/>
    </row>
    <row r="341">
      <c r="A341" s="73"/>
      <c r="B341" s="142"/>
      <c r="C341" s="73"/>
      <c r="D341" s="73"/>
      <c r="E341" s="14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c r="AC341" s="73"/>
    </row>
    <row r="342">
      <c r="A342" s="73"/>
      <c r="B342" s="142"/>
      <c r="C342" s="73"/>
      <c r="D342" s="73"/>
      <c r="E342" s="14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c r="AC342" s="73"/>
    </row>
    <row r="343">
      <c r="A343" s="73"/>
      <c r="B343" s="142"/>
      <c r="C343" s="73"/>
      <c r="D343" s="73"/>
      <c r="E343" s="14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c r="AC343" s="73"/>
    </row>
    <row r="344">
      <c r="A344" s="73"/>
      <c r="B344" s="142"/>
      <c r="C344" s="73"/>
      <c r="D344" s="73"/>
      <c r="E344" s="14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c r="AC344" s="73"/>
    </row>
    <row r="345">
      <c r="A345" s="73"/>
      <c r="B345" s="142"/>
      <c r="C345" s="73"/>
      <c r="D345" s="73"/>
      <c r="E345" s="14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c r="AC345" s="73"/>
    </row>
    <row r="346">
      <c r="A346" s="73"/>
      <c r="B346" s="142"/>
      <c r="C346" s="73"/>
      <c r="D346" s="73"/>
      <c r="E346" s="14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c r="AC346" s="73"/>
    </row>
    <row r="347">
      <c r="A347" s="73"/>
      <c r="B347" s="142"/>
      <c r="C347" s="73"/>
      <c r="D347" s="73"/>
      <c r="E347" s="14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c r="AC347" s="73"/>
    </row>
    <row r="348">
      <c r="A348" s="73"/>
      <c r="B348" s="142"/>
      <c r="C348" s="73"/>
      <c r="D348" s="73"/>
      <c r="E348" s="14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c r="AC348" s="73"/>
    </row>
    <row r="349">
      <c r="A349" s="73"/>
      <c r="B349" s="142"/>
      <c r="C349" s="73"/>
      <c r="D349" s="73"/>
      <c r="E349" s="14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c r="AC349" s="73"/>
    </row>
    <row r="350">
      <c r="A350" s="73"/>
      <c r="B350" s="142"/>
      <c r="C350" s="73"/>
      <c r="D350" s="73"/>
      <c r="E350" s="14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c r="AC350" s="73"/>
    </row>
    <row r="351">
      <c r="A351" s="73"/>
      <c r="B351" s="142"/>
      <c r="C351" s="73"/>
      <c r="D351" s="73"/>
      <c r="E351" s="14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c r="AC351" s="73"/>
    </row>
    <row r="352">
      <c r="A352" s="73"/>
      <c r="B352" s="142"/>
      <c r="C352" s="73"/>
      <c r="D352" s="73"/>
      <c r="E352" s="14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c r="AC352" s="73"/>
    </row>
    <row r="353">
      <c r="A353" s="73"/>
      <c r="B353" s="142"/>
      <c r="C353" s="73"/>
      <c r="D353" s="73"/>
      <c r="E353" s="14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c r="AC353" s="73"/>
    </row>
    <row r="354">
      <c r="A354" s="73"/>
      <c r="B354" s="142"/>
      <c r="C354" s="73"/>
      <c r="D354" s="73"/>
      <c r="E354" s="14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c r="AC354" s="73"/>
    </row>
    <row r="355">
      <c r="A355" s="73"/>
      <c r="B355" s="142"/>
      <c r="C355" s="73"/>
      <c r="D355" s="73"/>
      <c r="E355" s="14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c r="AC355" s="73"/>
    </row>
    <row r="356">
      <c r="A356" s="73"/>
      <c r="B356" s="142"/>
      <c r="C356" s="73"/>
      <c r="D356" s="73"/>
      <c r="E356" s="14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c r="AC356" s="73"/>
    </row>
    <row r="357">
      <c r="A357" s="73"/>
      <c r="B357" s="142"/>
      <c r="C357" s="73"/>
      <c r="D357" s="73"/>
      <c r="E357" s="14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c r="AC357" s="73"/>
    </row>
    <row r="358">
      <c r="A358" s="73"/>
      <c r="B358" s="142"/>
      <c r="C358" s="73"/>
      <c r="D358" s="73"/>
      <c r="E358" s="14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c r="AC358" s="73"/>
    </row>
    <row r="359">
      <c r="A359" s="73"/>
      <c r="B359" s="142"/>
      <c r="C359" s="73"/>
      <c r="D359" s="73"/>
      <c r="E359" s="14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c r="AC359" s="73"/>
    </row>
    <row r="360">
      <c r="A360" s="73"/>
      <c r="B360" s="142"/>
      <c r="C360" s="73"/>
      <c r="D360" s="73"/>
      <c r="E360" s="14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c r="AC360" s="73"/>
    </row>
    <row r="361">
      <c r="A361" s="73"/>
      <c r="B361" s="142"/>
      <c r="C361" s="73"/>
      <c r="D361" s="73"/>
      <c r="E361" s="14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c r="AC361" s="73"/>
    </row>
    <row r="362">
      <c r="A362" s="73"/>
      <c r="B362" s="142"/>
      <c r="C362" s="73"/>
      <c r="D362" s="73"/>
      <c r="E362" s="14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c r="AC362" s="73"/>
    </row>
    <row r="363">
      <c r="A363" s="73"/>
      <c r="B363" s="142"/>
      <c r="C363" s="73"/>
      <c r="D363" s="73"/>
      <c r="E363" s="14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c r="AC363" s="73"/>
    </row>
    <row r="364">
      <c r="A364" s="73"/>
      <c r="B364" s="142"/>
      <c r="C364" s="73"/>
      <c r="D364" s="73"/>
      <c r="E364" s="14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c r="AC364" s="73"/>
    </row>
    <row r="365">
      <c r="A365" s="73"/>
      <c r="B365" s="142"/>
      <c r="C365" s="73"/>
      <c r="D365" s="73"/>
      <c r="E365" s="14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c r="AC365" s="73"/>
    </row>
    <row r="366">
      <c r="A366" s="73"/>
      <c r="B366" s="142"/>
      <c r="C366" s="73"/>
      <c r="D366" s="73"/>
      <c r="E366" s="14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c r="AC366" s="73"/>
    </row>
    <row r="367">
      <c r="A367" s="73"/>
      <c r="B367" s="142"/>
      <c r="C367" s="73"/>
      <c r="D367" s="73"/>
      <c r="E367" s="14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c r="AC367" s="73"/>
    </row>
    <row r="368">
      <c r="A368" s="73"/>
      <c r="B368" s="142"/>
      <c r="C368" s="73"/>
      <c r="D368" s="73"/>
      <c r="E368" s="14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c r="AC368" s="73"/>
    </row>
    <row r="369">
      <c r="A369" s="73"/>
      <c r="B369" s="142"/>
      <c r="C369" s="73"/>
      <c r="D369" s="73"/>
      <c r="E369" s="14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c r="AC369" s="73"/>
    </row>
    <row r="370">
      <c r="A370" s="73"/>
      <c r="B370" s="142"/>
      <c r="C370" s="73"/>
      <c r="D370" s="73"/>
      <c r="E370" s="14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c r="AC370" s="73"/>
    </row>
    <row r="371">
      <c r="A371" s="73"/>
      <c r="B371" s="142"/>
      <c r="C371" s="73"/>
      <c r="D371" s="73"/>
      <c r="E371" s="14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c r="AC371" s="73"/>
    </row>
    <row r="372">
      <c r="A372" s="73"/>
      <c r="B372" s="142"/>
      <c r="C372" s="73"/>
      <c r="D372" s="73"/>
      <c r="E372" s="14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c r="AC372" s="73"/>
    </row>
    <row r="373">
      <c r="A373" s="73"/>
      <c r="B373" s="142"/>
      <c r="C373" s="73"/>
      <c r="D373" s="73"/>
      <c r="E373" s="14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c r="AC373" s="73"/>
    </row>
    <row r="374">
      <c r="A374" s="73"/>
      <c r="B374" s="142"/>
      <c r="C374" s="73"/>
      <c r="D374" s="73"/>
      <c r="E374" s="14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c r="AC374" s="73"/>
    </row>
    <row r="375">
      <c r="A375" s="73"/>
      <c r="B375" s="142"/>
      <c r="C375" s="73"/>
      <c r="D375" s="73"/>
      <c r="E375" s="14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c r="AC375" s="73"/>
    </row>
    <row r="376">
      <c r="A376" s="73"/>
      <c r="B376" s="142"/>
      <c r="C376" s="73"/>
      <c r="D376" s="73"/>
      <c r="E376" s="14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c r="AC376" s="73"/>
    </row>
    <row r="377">
      <c r="A377" s="73"/>
      <c r="B377" s="142"/>
      <c r="C377" s="73"/>
      <c r="D377" s="73"/>
      <c r="E377" s="14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c r="AC377" s="73"/>
    </row>
    <row r="378">
      <c r="A378" s="73"/>
      <c r="B378" s="142"/>
      <c r="C378" s="73"/>
      <c r="D378" s="73"/>
      <c r="E378" s="14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c r="AC378" s="73"/>
    </row>
    <row r="379">
      <c r="A379" s="73"/>
      <c r="B379" s="142"/>
      <c r="C379" s="73"/>
      <c r="D379" s="73"/>
      <c r="E379" s="14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c r="AC379" s="73"/>
    </row>
    <row r="380">
      <c r="A380" s="73"/>
      <c r="B380" s="142"/>
      <c r="C380" s="73"/>
      <c r="D380" s="73"/>
      <c r="E380" s="14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c r="AC380" s="73"/>
    </row>
    <row r="381">
      <c r="A381" s="73"/>
      <c r="B381" s="142"/>
      <c r="C381" s="73"/>
      <c r="D381" s="73"/>
      <c r="E381" s="14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c r="AC381" s="73"/>
    </row>
    <row r="382">
      <c r="A382" s="73"/>
      <c r="B382" s="142"/>
      <c r="C382" s="73"/>
      <c r="D382" s="73"/>
      <c r="E382" s="14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c r="AC382" s="73"/>
    </row>
    <row r="383">
      <c r="A383" s="73"/>
      <c r="B383" s="142"/>
      <c r="C383" s="73"/>
      <c r="D383" s="73"/>
      <c r="E383" s="14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c r="AC383" s="73"/>
    </row>
    <row r="384">
      <c r="A384" s="73"/>
      <c r="B384" s="142"/>
      <c r="C384" s="73"/>
      <c r="D384" s="73"/>
      <c r="E384" s="14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c r="AC384" s="73"/>
    </row>
    <row r="385">
      <c r="A385" s="73"/>
      <c r="B385" s="142"/>
      <c r="C385" s="73"/>
      <c r="D385" s="73"/>
      <c r="E385" s="14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row>
    <row r="386">
      <c r="A386" s="73"/>
      <c r="B386" s="142"/>
      <c r="C386" s="73"/>
      <c r="D386" s="73"/>
      <c r="E386" s="14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c r="AC386" s="73"/>
    </row>
    <row r="387">
      <c r="A387" s="73"/>
      <c r="B387" s="142"/>
      <c r="C387" s="73"/>
      <c r="D387" s="73"/>
      <c r="E387" s="14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c r="AC387" s="73"/>
    </row>
    <row r="388">
      <c r="A388" s="73"/>
      <c r="B388" s="142"/>
      <c r="C388" s="73"/>
      <c r="D388" s="73"/>
      <c r="E388" s="14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row>
    <row r="389">
      <c r="A389" s="73"/>
      <c r="B389" s="142"/>
      <c r="C389" s="73"/>
      <c r="D389" s="73"/>
      <c r="E389" s="14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c r="AC389" s="73"/>
    </row>
    <row r="390">
      <c r="A390" s="73"/>
      <c r="B390" s="142"/>
      <c r="C390" s="73"/>
      <c r="D390" s="73"/>
      <c r="E390" s="14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c r="AC390" s="73"/>
    </row>
    <row r="391">
      <c r="A391" s="73"/>
      <c r="B391" s="142"/>
      <c r="C391" s="73"/>
      <c r="D391" s="73"/>
      <c r="E391" s="14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row>
    <row r="392">
      <c r="A392" s="73"/>
      <c r="B392" s="142"/>
      <c r="C392" s="73"/>
      <c r="D392" s="73"/>
      <c r="E392" s="14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c r="AC392" s="73"/>
    </row>
    <row r="393">
      <c r="A393" s="73"/>
      <c r="B393" s="142"/>
      <c r="C393" s="73"/>
      <c r="D393" s="73"/>
      <c r="E393" s="14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c r="AC393" s="73"/>
    </row>
    <row r="394">
      <c r="A394" s="73"/>
      <c r="B394" s="142"/>
      <c r="C394" s="73"/>
      <c r="D394" s="73"/>
      <c r="E394" s="14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c r="AC394" s="73"/>
    </row>
    <row r="395">
      <c r="A395" s="73"/>
      <c r="B395" s="142"/>
      <c r="C395" s="73"/>
      <c r="D395" s="73"/>
      <c r="E395" s="14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c r="AC395" s="73"/>
    </row>
    <row r="396">
      <c r="A396" s="73"/>
      <c r="B396" s="142"/>
      <c r="C396" s="73"/>
      <c r="D396" s="73"/>
      <c r="E396" s="14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c r="AC396" s="73"/>
    </row>
    <row r="397">
      <c r="A397" s="73"/>
      <c r="B397" s="142"/>
      <c r="C397" s="73"/>
      <c r="D397" s="73"/>
      <c r="E397" s="14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c r="AC397" s="73"/>
    </row>
    <row r="398">
      <c r="A398" s="73"/>
      <c r="B398" s="142"/>
      <c r="C398" s="73"/>
      <c r="D398" s="73"/>
      <c r="E398" s="14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c r="AC398" s="73"/>
    </row>
    <row r="399">
      <c r="A399" s="73"/>
      <c r="B399" s="142"/>
      <c r="C399" s="73"/>
      <c r="D399" s="73"/>
      <c r="E399" s="14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c r="AC399" s="73"/>
    </row>
    <row r="400">
      <c r="A400" s="73"/>
      <c r="B400" s="142"/>
      <c r="C400" s="73"/>
      <c r="D400" s="73"/>
      <c r="E400" s="14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c r="AC400" s="73"/>
    </row>
    <row r="401">
      <c r="A401" s="73"/>
      <c r="B401" s="142"/>
      <c r="C401" s="73"/>
      <c r="D401" s="73"/>
      <c r="E401" s="14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c r="AC401" s="73"/>
    </row>
    <row r="402">
      <c r="A402" s="73"/>
      <c r="B402" s="142"/>
      <c r="C402" s="73"/>
      <c r="D402" s="73"/>
      <c r="E402" s="14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c r="AC402" s="73"/>
    </row>
    <row r="403">
      <c r="A403" s="73"/>
      <c r="B403" s="142"/>
      <c r="C403" s="73"/>
      <c r="D403" s="73"/>
      <c r="E403" s="14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c r="AC403" s="73"/>
    </row>
    <row r="404">
      <c r="A404" s="73"/>
      <c r="B404" s="142"/>
      <c r="C404" s="73"/>
      <c r="D404" s="73"/>
      <c r="E404" s="14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c r="AC404" s="73"/>
    </row>
    <row r="405">
      <c r="A405" s="73"/>
      <c r="B405" s="142"/>
      <c r="C405" s="73"/>
      <c r="D405" s="73"/>
      <c r="E405" s="14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c r="AC405" s="73"/>
    </row>
    <row r="406">
      <c r="A406" s="73"/>
      <c r="B406" s="142"/>
      <c r="C406" s="73"/>
      <c r="D406" s="73"/>
      <c r="E406" s="14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c r="AC406" s="73"/>
    </row>
    <row r="407">
      <c r="A407" s="73"/>
      <c r="B407" s="142"/>
      <c r="C407" s="73"/>
      <c r="D407" s="73"/>
      <c r="E407" s="14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c r="AC407" s="73"/>
    </row>
    <row r="408">
      <c r="A408" s="73"/>
      <c r="B408" s="142"/>
      <c r="C408" s="73"/>
      <c r="D408" s="73"/>
      <c r="E408" s="14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c r="AC408" s="73"/>
    </row>
    <row r="409">
      <c r="A409" s="73"/>
      <c r="B409" s="142"/>
      <c r="C409" s="73"/>
      <c r="D409" s="73"/>
      <c r="E409" s="14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c r="AC409" s="73"/>
    </row>
    <row r="410">
      <c r="A410" s="73"/>
      <c r="B410" s="142"/>
      <c r="C410" s="73"/>
      <c r="D410" s="73"/>
      <c r="E410" s="14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c r="AC410" s="73"/>
    </row>
    <row r="411">
      <c r="A411" s="73"/>
      <c r="B411" s="142"/>
      <c r="C411" s="73"/>
      <c r="D411" s="73"/>
      <c r="E411" s="14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c r="AC411" s="73"/>
    </row>
    <row r="412">
      <c r="A412" s="73"/>
      <c r="B412" s="142"/>
      <c r="C412" s="73"/>
      <c r="D412" s="73"/>
      <c r="E412" s="14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c r="AC412" s="73"/>
    </row>
    <row r="413">
      <c r="A413" s="73"/>
      <c r="B413" s="142"/>
      <c r="C413" s="73"/>
      <c r="D413" s="73"/>
      <c r="E413" s="14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c r="AC413" s="73"/>
    </row>
    <row r="414">
      <c r="A414" s="73"/>
      <c r="B414" s="142"/>
      <c r="C414" s="73"/>
      <c r="D414" s="73"/>
      <c r="E414" s="14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c r="AC414" s="73"/>
    </row>
    <row r="415">
      <c r="A415" s="73"/>
      <c r="B415" s="142"/>
      <c r="C415" s="73"/>
      <c r="D415" s="73"/>
      <c r="E415" s="14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c r="AC415" s="73"/>
    </row>
    <row r="416">
      <c r="A416" s="73"/>
      <c r="B416" s="142"/>
      <c r="C416" s="73"/>
      <c r="D416" s="73"/>
      <c r="E416" s="14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c r="AC416" s="73"/>
    </row>
    <row r="417">
      <c r="A417" s="73"/>
      <c r="B417" s="142"/>
      <c r="C417" s="73"/>
      <c r="D417" s="73"/>
      <c r="E417" s="14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c r="AC417" s="73"/>
    </row>
    <row r="418">
      <c r="A418" s="73"/>
      <c r="B418" s="142"/>
      <c r="C418" s="73"/>
      <c r="D418" s="73"/>
      <c r="E418" s="14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c r="AC418" s="73"/>
    </row>
    <row r="419">
      <c r="A419" s="73"/>
      <c r="B419" s="142"/>
      <c r="C419" s="73"/>
      <c r="D419" s="73"/>
      <c r="E419" s="14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c r="AC419" s="73"/>
    </row>
    <row r="420">
      <c r="A420" s="73"/>
      <c r="B420" s="142"/>
      <c r="C420" s="73"/>
      <c r="D420" s="73"/>
      <c r="E420" s="14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c r="AC420" s="73"/>
    </row>
    <row r="421">
      <c r="A421" s="73"/>
      <c r="B421" s="142"/>
      <c r="C421" s="73"/>
      <c r="D421" s="73"/>
      <c r="E421" s="14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c r="AC421" s="73"/>
    </row>
    <row r="422">
      <c r="A422" s="73"/>
      <c r="B422" s="142"/>
      <c r="C422" s="73"/>
      <c r="D422" s="73"/>
      <c r="E422" s="14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c r="AC422" s="73"/>
    </row>
    <row r="423">
      <c r="A423" s="73"/>
      <c r="B423" s="142"/>
      <c r="C423" s="73"/>
      <c r="D423" s="73"/>
      <c r="E423" s="14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c r="AC423" s="73"/>
    </row>
    <row r="424">
      <c r="A424" s="73"/>
      <c r="B424" s="142"/>
      <c r="C424" s="73"/>
      <c r="D424" s="73"/>
      <c r="E424" s="14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c r="AC424" s="73"/>
    </row>
    <row r="425">
      <c r="A425" s="73"/>
      <c r="B425" s="142"/>
      <c r="C425" s="73"/>
      <c r="D425" s="73"/>
      <c r="E425" s="14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c r="AC425" s="73"/>
    </row>
    <row r="426">
      <c r="A426" s="73"/>
      <c r="B426" s="142"/>
      <c r="C426" s="73"/>
      <c r="D426" s="73"/>
      <c r="E426" s="14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c r="AC426" s="73"/>
    </row>
    <row r="427">
      <c r="A427" s="73"/>
      <c r="B427" s="142"/>
      <c r="C427" s="73"/>
      <c r="D427" s="73"/>
      <c r="E427" s="14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c r="AC427" s="73"/>
    </row>
    <row r="428">
      <c r="A428" s="73"/>
      <c r="B428" s="142"/>
      <c r="C428" s="73"/>
      <c r="D428" s="73"/>
      <c r="E428" s="14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c r="AC428" s="73"/>
    </row>
    <row r="429">
      <c r="A429" s="73"/>
      <c r="B429" s="142"/>
      <c r="C429" s="73"/>
      <c r="D429" s="73"/>
      <c r="E429" s="14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row>
    <row r="430">
      <c r="A430" s="73"/>
      <c r="B430" s="142"/>
      <c r="C430" s="73"/>
      <c r="D430" s="73"/>
      <c r="E430" s="14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c r="AC430" s="73"/>
    </row>
    <row r="431">
      <c r="A431" s="73"/>
      <c r="B431" s="142"/>
      <c r="C431" s="73"/>
      <c r="D431" s="73"/>
      <c r="E431" s="14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c r="AC431" s="73"/>
    </row>
    <row r="432">
      <c r="A432" s="73"/>
      <c r="B432" s="142"/>
      <c r="C432" s="73"/>
      <c r="D432" s="73"/>
      <c r="E432" s="14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c r="AC432" s="73"/>
    </row>
    <row r="433">
      <c r="A433" s="73"/>
      <c r="B433" s="142"/>
      <c r="C433" s="73"/>
      <c r="D433" s="73"/>
      <c r="E433" s="14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c r="AC433" s="73"/>
    </row>
    <row r="434">
      <c r="A434" s="73"/>
      <c r="B434" s="142"/>
      <c r="C434" s="73"/>
      <c r="D434" s="73"/>
      <c r="E434" s="14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c r="AC434" s="73"/>
    </row>
    <row r="435">
      <c r="A435" s="73"/>
      <c r="B435" s="142"/>
      <c r="C435" s="73"/>
      <c r="D435" s="73"/>
      <c r="E435" s="14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c r="AC435" s="73"/>
    </row>
    <row r="436">
      <c r="A436" s="73"/>
      <c r="B436" s="142"/>
      <c r="C436" s="73"/>
      <c r="D436" s="73"/>
      <c r="E436" s="14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c r="AC436" s="73"/>
    </row>
    <row r="437">
      <c r="A437" s="73"/>
      <c r="B437" s="142"/>
      <c r="C437" s="73"/>
      <c r="D437" s="73"/>
      <c r="E437" s="14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c r="AC437" s="73"/>
    </row>
    <row r="438">
      <c r="A438" s="73"/>
      <c r="B438" s="142"/>
      <c r="C438" s="73"/>
      <c r="D438" s="73"/>
      <c r="E438" s="14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c r="AC438" s="73"/>
    </row>
    <row r="439">
      <c r="A439" s="73"/>
      <c r="B439" s="142"/>
      <c r="C439" s="73"/>
      <c r="D439" s="73"/>
      <c r="E439" s="14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c r="AC439" s="73"/>
    </row>
    <row r="440">
      <c r="A440" s="73"/>
      <c r="B440" s="142"/>
      <c r="C440" s="73"/>
      <c r="D440" s="73"/>
      <c r="E440" s="14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c r="AC440" s="73"/>
    </row>
    <row r="441">
      <c r="A441" s="73"/>
      <c r="B441" s="142"/>
      <c r="C441" s="73"/>
      <c r="D441" s="73"/>
      <c r="E441" s="14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c r="AC441" s="73"/>
    </row>
    <row r="442">
      <c r="A442" s="73"/>
      <c r="B442" s="142"/>
      <c r="C442" s="73"/>
      <c r="D442" s="73"/>
      <c r="E442" s="14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c r="AC442" s="73"/>
    </row>
    <row r="443">
      <c r="A443" s="73"/>
      <c r="B443" s="142"/>
      <c r="C443" s="73"/>
      <c r="D443" s="73"/>
      <c r="E443" s="14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c r="AC443" s="73"/>
    </row>
    <row r="444">
      <c r="A444" s="73"/>
      <c r="B444" s="142"/>
      <c r="C444" s="73"/>
      <c r="D444" s="73"/>
      <c r="E444" s="14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c r="AC444" s="73"/>
    </row>
    <row r="445">
      <c r="A445" s="73"/>
      <c r="B445" s="142"/>
      <c r="C445" s="73"/>
      <c r="D445" s="73"/>
      <c r="E445" s="14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c r="AC445" s="73"/>
    </row>
    <row r="446">
      <c r="A446" s="73"/>
      <c r="B446" s="142"/>
      <c r="C446" s="73"/>
      <c r="D446" s="73"/>
      <c r="E446" s="14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c r="AC446" s="73"/>
    </row>
    <row r="447">
      <c r="A447" s="73"/>
      <c r="B447" s="142"/>
      <c r="C447" s="73"/>
      <c r="D447" s="73"/>
      <c r="E447" s="14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c r="AC447" s="73"/>
    </row>
    <row r="448">
      <c r="A448" s="73"/>
      <c r="B448" s="142"/>
      <c r="C448" s="73"/>
      <c r="D448" s="73"/>
      <c r="E448" s="14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c r="AC448" s="73"/>
    </row>
    <row r="449">
      <c r="A449" s="73"/>
      <c r="B449" s="142"/>
      <c r="C449" s="73"/>
      <c r="D449" s="73"/>
      <c r="E449" s="14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c r="AC449" s="73"/>
    </row>
    <row r="450">
      <c r="A450" s="73"/>
      <c r="B450" s="142"/>
      <c r="C450" s="73"/>
      <c r="D450" s="73"/>
      <c r="E450" s="14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c r="AC450" s="73"/>
    </row>
    <row r="451">
      <c r="A451" s="73"/>
      <c r="B451" s="142"/>
      <c r="C451" s="73"/>
      <c r="D451" s="73"/>
      <c r="E451" s="14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c r="AC451" s="73"/>
    </row>
    <row r="452">
      <c r="A452" s="73"/>
      <c r="B452" s="142"/>
      <c r="C452" s="73"/>
      <c r="D452" s="73"/>
      <c r="E452" s="14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c r="AC452" s="73"/>
    </row>
    <row r="453">
      <c r="A453" s="73"/>
      <c r="B453" s="142"/>
      <c r="C453" s="73"/>
      <c r="D453" s="73"/>
      <c r="E453" s="14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c r="AC453" s="73"/>
    </row>
    <row r="454">
      <c r="A454" s="73"/>
      <c r="B454" s="142"/>
      <c r="C454" s="73"/>
      <c r="D454" s="73"/>
      <c r="E454" s="14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c r="AC454" s="73"/>
    </row>
    <row r="455">
      <c r="A455" s="73"/>
      <c r="B455" s="142"/>
      <c r="C455" s="73"/>
      <c r="D455" s="73"/>
      <c r="E455" s="14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c r="AC455" s="73"/>
    </row>
    <row r="456">
      <c r="A456" s="73"/>
      <c r="B456" s="142"/>
      <c r="C456" s="73"/>
      <c r="D456" s="73"/>
      <c r="E456" s="14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c r="AC456" s="73"/>
    </row>
    <row r="457">
      <c r="A457" s="73"/>
      <c r="B457" s="142"/>
      <c r="C457" s="73"/>
      <c r="D457" s="73"/>
      <c r="E457" s="14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c r="AC457" s="73"/>
    </row>
    <row r="458">
      <c r="A458" s="73"/>
      <c r="B458" s="142"/>
      <c r="C458" s="73"/>
      <c r="D458" s="73"/>
      <c r="E458" s="14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c r="AC458" s="73"/>
    </row>
    <row r="459">
      <c r="A459" s="73"/>
      <c r="B459" s="142"/>
      <c r="C459" s="73"/>
      <c r="D459" s="73"/>
      <c r="E459" s="14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c r="AC459" s="73"/>
    </row>
    <row r="460">
      <c r="A460" s="73"/>
      <c r="B460" s="142"/>
      <c r="C460" s="73"/>
      <c r="D460" s="73"/>
      <c r="E460" s="14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c r="AC460" s="73"/>
    </row>
    <row r="461">
      <c r="A461" s="73"/>
      <c r="B461" s="142"/>
      <c r="C461" s="73"/>
      <c r="D461" s="73"/>
      <c r="E461" s="14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c r="AC461" s="73"/>
    </row>
    <row r="462">
      <c r="A462" s="73"/>
      <c r="B462" s="142"/>
      <c r="C462" s="73"/>
      <c r="D462" s="73"/>
      <c r="E462" s="14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c r="AC462" s="73"/>
    </row>
    <row r="463">
      <c r="A463" s="73"/>
      <c r="B463" s="142"/>
      <c r="C463" s="73"/>
      <c r="D463" s="73"/>
      <c r="E463" s="14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c r="AC463" s="73"/>
    </row>
    <row r="464">
      <c r="A464" s="73"/>
      <c r="B464" s="142"/>
      <c r="C464" s="73"/>
      <c r="D464" s="73"/>
      <c r="E464" s="14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c r="AC464" s="73"/>
    </row>
    <row r="465">
      <c r="A465" s="73"/>
      <c r="B465" s="142"/>
      <c r="C465" s="73"/>
      <c r="D465" s="73"/>
      <c r="E465" s="14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c r="AC465" s="73"/>
    </row>
    <row r="466">
      <c r="A466" s="73"/>
      <c r="B466" s="142"/>
      <c r="C466" s="73"/>
      <c r="D466" s="73"/>
      <c r="E466" s="14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c r="AC466" s="73"/>
    </row>
    <row r="467">
      <c r="A467" s="73"/>
      <c r="B467" s="142"/>
      <c r="C467" s="73"/>
      <c r="D467" s="73"/>
      <c r="E467" s="14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c r="AC467" s="73"/>
    </row>
    <row r="468">
      <c r="A468" s="73"/>
      <c r="B468" s="142"/>
      <c r="C468" s="73"/>
      <c r="D468" s="73"/>
      <c r="E468" s="14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c r="AC468" s="73"/>
    </row>
    <row r="469">
      <c r="A469" s="73"/>
      <c r="B469" s="142"/>
      <c r="C469" s="73"/>
      <c r="D469" s="73"/>
      <c r="E469" s="14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c r="AC469" s="73"/>
    </row>
    <row r="470">
      <c r="A470" s="73"/>
      <c r="B470" s="142"/>
      <c r="C470" s="73"/>
      <c r="D470" s="73"/>
      <c r="E470" s="14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c r="AC470" s="73"/>
    </row>
    <row r="471">
      <c r="A471" s="73"/>
      <c r="B471" s="142"/>
      <c r="C471" s="73"/>
      <c r="D471" s="73"/>
      <c r="E471" s="14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row>
    <row r="472">
      <c r="A472" s="73"/>
      <c r="B472" s="142"/>
      <c r="C472" s="73"/>
      <c r="D472" s="73"/>
      <c r="E472" s="14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c r="AC472" s="73"/>
    </row>
    <row r="473">
      <c r="A473" s="73"/>
      <c r="B473" s="142"/>
      <c r="C473" s="73"/>
      <c r="D473" s="73"/>
      <c r="E473" s="14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row>
    <row r="474">
      <c r="A474" s="73"/>
      <c r="B474" s="142"/>
      <c r="C474" s="73"/>
      <c r="D474" s="73"/>
      <c r="E474" s="14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c r="AC474" s="73"/>
    </row>
    <row r="475">
      <c r="A475" s="73"/>
      <c r="B475" s="142"/>
      <c r="C475" s="73"/>
      <c r="D475" s="73"/>
      <c r="E475" s="14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c r="AC475" s="73"/>
    </row>
    <row r="476">
      <c r="A476" s="73"/>
      <c r="B476" s="142"/>
      <c r="C476" s="73"/>
      <c r="D476" s="73"/>
      <c r="E476" s="14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c r="AC476" s="73"/>
    </row>
    <row r="477">
      <c r="A477" s="73"/>
      <c r="B477" s="142"/>
      <c r="C477" s="73"/>
      <c r="D477" s="73"/>
      <c r="E477" s="14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c r="AC477" s="73"/>
    </row>
    <row r="478">
      <c r="A478" s="73"/>
      <c r="B478" s="142"/>
      <c r="C478" s="73"/>
      <c r="D478" s="73"/>
      <c r="E478" s="14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c r="AC478" s="73"/>
    </row>
    <row r="479">
      <c r="A479" s="73"/>
      <c r="B479" s="142"/>
      <c r="C479" s="73"/>
      <c r="D479" s="73"/>
      <c r="E479" s="14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c r="AC479" s="73"/>
    </row>
    <row r="480">
      <c r="A480" s="73"/>
      <c r="B480" s="142"/>
      <c r="C480" s="73"/>
      <c r="D480" s="73"/>
      <c r="E480" s="14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c r="AC480" s="73"/>
    </row>
    <row r="481">
      <c r="A481" s="73"/>
      <c r="B481" s="142"/>
      <c r="C481" s="73"/>
      <c r="D481" s="73"/>
      <c r="E481" s="14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row>
    <row r="482">
      <c r="A482" s="73"/>
      <c r="B482" s="142"/>
      <c r="C482" s="73"/>
      <c r="D482" s="73"/>
      <c r="E482" s="14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c r="AC482" s="73"/>
    </row>
    <row r="483">
      <c r="A483" s="73"/>
      <c r="B483" s="142"/>
      <c r="C483" s="73"/>
      <c r="D483" s="73"/>
      <c r="E483" s="14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c r="AC483" s="73"/>
    </row>
    <row r="484">
      <c r="A484" s="73"/>
      <c r="B484" s="142"/>
      <c r="C484" s="73"/>
      <c r="D484" s="73"/>
      <c r="E484" s="14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c r="AC484" s="73"/>
    </row>
    <row r="485">
      <c r="A485" s="73"/>
      <c r="B485" s="142"/>
      <c r="C485" s="73"/>
      <c r="D485" s="73"/>
      <c r="E485" s="14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c r="AC485" s="73"/>
    </row>
    <row r="486">
      <c r="A486" s="73"/>
      <c r="B486" s="142"/>
      <c r="C486" s="73"/>
      <c r="D486" s="73"/>
      <c r="E486" s="14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c r="AC486" s="73"/>
    </row>
    <row r="487">
      <c r="A487" s="73"/>
      <c r="B487" s="142"/>
      <c r="C487" s="73"/>
      <c r="D487" s="73"/>
      <c r="E487" s="14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c r="AC487" s="73"/>
    </row>
    <row r="488">
      <c r="A488" s="73"/>
      <c r="B488" s="142"/>
      <c r="C488" s="73"/>
      <c r="D488" s="73"/>
      <c r="E488" s="14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c r="AC488" s="73"/>
    </row>
    <row r="489">
      <c r="A489" s="73"/>
      <c r="B489" s="142"/>
      <c r="C489" s="73"/>
      <c r="D489" s="73"/>
      <c r="E489" s="14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c r="AC489" s="73"/>
    </row>
    <row r="490">
      <c r="A490" s="73"/>
      <c r="B490" s="142"/>
      <c r="C490" s="73"/>
      <c r="D490" s="73"/>
      <c r="E490" s="14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c r="AC490" s="73"/>
    </row>
    <row r="491">
      <c r="A491" s="73"/>
      <c r="B491" s="142"/>
      <c r="C491" s="73"/>
      <c r="D491" s="73"/>
      <c r="E491" s="14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c r="AC491" s="73"/>
    </row>
    <row r="492">
      <c r="A492" s="73"/>
      <c r="B492" s="142"/>
      <c r="C492" s="73"/>
      <c r="D492" s="73"/>
      <c r="E492" s="14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c r="AC492" s="73"/>
    </row>
    <row r="493">
      <c r="A493" s="73"/>
      <c r="B493" s="142"/>
      <c r="C493" s="73"/>
      <c r="D493" s="73"/>
      <c r="E493" s="14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c r="AC493" s="73"/>
    </row>
    <row r="494">
      <c r="A494" s="73"/>
      <c r="B494" s="142"/>
      <c r="C494" s="73"/>
      <c r="D494" s="73"/>
      <c r="E494" s="14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c r="AC494" s="73"/>
    </row>
    <row r="495">
      <c r="A495" s="73"/>
      <c r="B495" s="142"/>
      <c r="C495" s="73"/>
      <c r="D495" s="73"/>
      <c r="E495" s="14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row>
    <row r="496">
      <c r="A496" s="73"/>
      <c r="B496" s="142"/>
      <c r="C496" s="73"/>
      <c r="D496" s="73"/>
      <c r="E496" s="14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c r="AC496" s="73"/>
    </row>
    <row r="497">
      <c r="A497" s="73"/>
      <c r="B497" s="142"/>
      <c r="C497" s="73"/>
      <c r="D497" s="73"/>
      <c r="E497" s="14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c r="AC497" s="73"/>
    </row>
    <row r="498">
      <c r="A498" s="73"/>
      <c r="B498" s="142"/>
      <c r="C498" s="73"/>
      <c r="D498" s="73"/>
      <c r="E498" s="14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c r="AC498" s="73"/>
    </row>
    <row r="499">
      <c r="A499" s="73"/>
      <c r="B499" s="142"/>
      <c r="C499" s="73"/>
      <c r="D499" s="73"/>
      <c r="E499" s="14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c r="AC499" s="73"/>
    </row>
    <row r="500">
      <c r="A500" s="73"/>
      <c r="B500" s="142"/>
      <c r="C500" s="73"/>
      <c r="D500" s="73"/>
      <c r="E500" s="14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c r="AC500" s="73"/>
    </row>
    <row r="501">
      <c r="A501" s="73"/>
      <c r="B501" s="142"/>
      <c r="C501" s="73"/>
      <c r="D501" s="73"/>
      <c r="E501" s="14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c r="AC501" s="73"/>
    </row>
    <row r="502">
      <c r="A502" s="73"/>
      <c r="B502" s="142"/>
      <c r="C502" s="73"/>
      <c r="D502" s="73"/>
      <c r="E502" s="14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c r="AC502" s="73"/>
    </row>
    <row r="503">
      <c r="A503" s="73"/>
      <c r="B503" s="142"/>
      <c r="C503" s="73"/>
      <c r="D503" s="73"/>
      <c r="E503" s="14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c r="AC503" s="73"/>
    </row>
    <row r="504">
      <c r="A504" s="73"/>
      <c r="B504" s="142"/>
      <c r="C504" s="73"/>
      <c r="D504" s="73"/>
      <c r="E504" s="14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c r="AC504" s="73"/>
    </row>
    <row r="505">
      <c r="A505" s="73"/>
      <c r="B505" s="142"/>
      <c r="C505" s="73"/>
      <c r="D505" s="73"/>
      <c r="E505" s="14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c r="AC505" s="73"/>
    </row>
    <row r="506">
      <c r="A506" s="73"/>
      <c r="B506" s="142"/>
      <c r="C506" s="73"/>
      <c r="D506" s="73"/>
      <c r="E506" s="14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c r="AC506" s="73"/>
    </row>
    <row r="507">
      <c r="A507" s="73"/>
      <c r="B507" s="142"/>
      <c r="C507" s="73"/>
      <c r="D507" s="73"/>
      <c r="E507" s="14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c r="AC507" s="73"/>
    </row>
    <row r="508">
      <c r="A508" s="73"/>
      <c r="B508" s="142"/>
      <c r="C508" s="73"/>
      <c r="D508" s="73"/>
      <c r="E508" s="14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c r="AC508" s="73"/>
    </row>
    <row r="509">
      <c r="A509" s="73"/>
      <c r="B509" s="142"/>
      <c r="C509" s="73"/>
      <c r="D509" s="73"/>
      <c r="E509" s="14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c r="AC509" s="73"/>
    </row>
    <row r="510">
      <c r="A510" s="73"/>
      <c r="B510" s="142"/>
      <c r="C510" s="73"/>
      <c r="D510" s="73"/>
      <c r="E510" s="14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c r="AC510" s="73"/>
    </row>
    <row r="511">
      <c r="A511" s="73"/>
      <c r="B511" s="142"/>
      <c r="C511" s="73"/>
      <c r="D511" s="73"/>
      <c r="E511" s="14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c r="AC511" s="73"/>
    </row>
    <row r="512">
      <c r="A512" s="73"/>
      <c r="B512" s="142"/>
      <c r="C512" s="73"/>
      <c r="D512" s="73"/>
      <c r="E512" s="14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c r="AC512" s="73"/>
    </row>
    <row r="513">
      <c r="A513" s="73"/>
      <c r="B513" s="142"/>
      <c r="C513" s="73"/>
      <c r="D513" s="73"/>
      <c r="E513" s="14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c r="AC513" s="73"/>
    </row>
    <row r="514">
      <c r="A514" s="73"/>
      <c r="B514" s="142"/>
      <c r="C514" s="73"/>
      <c r="D514" s="73"/>
      <c r="E514" s="14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c r="AC514" s="73"/>
    </row>
    <row r="515">
      <c r="A515" s="73"/>
      <c r="B515" s="142"/>
      <c r="C515" s="73"/>
      <c r="D515" s="73"/>
      <c r="E515" s="14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c r="AC515" s="73"/>
    </row>
    <row r="516">
      <c r="A516" s="73"/>
      <c r="B516" s="142"/>
      <c r="C516" s="73"/>
      <c r="D516" s="73"/>
      <c r="E516" s="14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c r="AC516" s="73"/>
    </row>
    <row r="517">
      <c r="A517" s="73"/>
      <c r="B517" s="142"/>
      <c r="C517" s="73"/>
      <c r="D517" s="73"/>
      <c r="E517" s="14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c r="AC517" s="73"/>
    </row>
    <row r="518">
      <c r="A518" s="73"/>
      <c r="B518" s="142"/>
      <c r="C518" s="73"/>
      <c r="D518" s="73"/>
      <c r="E518" s="14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c r="AC518" s="73"/>
    </row>
    <row r="519">
      <c r="A519" s="73"/>
      <c r="B519" s="142"/>
      <c r="C519" s="73"/>
      <c r="D519" s="73"/>
      <c r="E519" s="14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c r="AC519" s="73"/>
    </row>
    <row r="520">
      <c r="A520" s="73"/>
      <c r="B520" s="142"/>
      <c r="C520" s="73"/>
      <c r="D520" s="73"/>
      <c r="E520" s="14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c r="AC520" s="73"/>
    </row>
    <row r="521">
      <c r="A521" s="73"/>
      <c r="B521" s="142"/>
      <c r="C521" s="73"/>
      <c r="D521" s="73"/>
      <c r="E521" s="14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c r="AC521" s="73"/>
    </row>
    <row r="522">
      <c r="A522" s="73"/>
      <c r="B522" s="142"/>
      <c r="C522" s="73"/>
      <c r="D522" s="73"/>
      <c r="E522" s="14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c r="AC522" s="73"/>
    </row>
    <row r="523">
      <c r="A523" s="73"/>
      <c r="B523" s="142"/>
      <c r="C523" s="73"/>
      <c r="D523" s="73"/>
      <c r="E523" s="14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c r="AC523" s="73"/>
    </row>
    <row r="524">
      <c r="A524" s="73"/>
      <c r="B524" s="142"/>
      <c r="C524" s="73"/>
      <c r="D524" s="73"/>
      <c r="E524" s="14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c r="AC524" s="73"/>
    </row>
    <row r="525">
      <c r="A525" s="73"/>
      <c r="B525" s="142"/>
      <c r="C525" s="73"/>
      <c r="D525" s="73"/>
      <c r="E525" s="14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c r="AC525" s="73"/>
    </row>
    <row r="526">
      <c r="A526" s="73"/>
      <c r="B526" s="142"/>
      <c r="C526" s="73"/>
      <c r="D526" s="73"/>
      <c r="E526" s="14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c r="AC526" s="73"/>
    </row>
    <row r="527">
      <c r="A527" s="73"/>
      <c r="B527" s="142"/>
      <c r="C527" s="73"/>
      <c r="D527" s="73"/>
      <c r="E527" s="14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c r="AC527" s="73"/>
    </row>
    <row r="528">
      <c r="A528" s="73"/>
      <c r="B528" s="142"/>
      <c r="C528" s="73"/>
      <c r="D528" s="73"/>
      <c r="E528" s="14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c r="AC528" s="73"/>
    </row>
    <row r="529">
      <c r="A529" s="73"/>
      <c r="B529" s="142"/>
      <c r="C529" s="73"/>
      <c r="D529" s="73"/>
      <c r="E529" s="14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c r="AC529" s="73"/>
    </row>
    <row r="530">
      <c r="A530" s="73"/>
      <c r="B530" s="142"/>
      <c r="C530" s="73"/>
      <c r="D530" s="73"/>
      <c r="E530" s="14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c r="AC530" s="73"/>
    </row>
    <row r="531">
      <c r="A531" s="73"/>
      <c r="B531" s="142"/>
      <c r="C531" s="73"/>
      <c r="D531" s="73"/>
      <c r="E531" s="14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c r="AC531" s="73"/>
    </row>
    <row r="532">
      <c r="A532" s="73"/>
      <c r="B532" s="142"/>
      <c r="C532" s="73"/>
      <c r="D532" s="73"/>
      <c r="E532" s="14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c r="AC532" s="73"/>
    </row>
    <row r="533">
      <c r="A533" s="73"/>
      <c r="B533" s="142"/>
      <c r="C533" s="73"/>
      <c r="D533" s="73"/>
      <c r="E533" s="14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c r="AC533" s="73"/>
    </row>
    <row r="534">
      <c r="A534" s="73"/>
      <c r="B534" s="142"/>
      <c r="C534" s="73"/>
      <c r="D534" s="73"/>
      <c r="E534" s="14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c r="AC534" s="73"/>
    </row>
    <row r="535">
      <c r="A535" s="73"/>
      <c r="B535" s="142"/>
      <c r="C535" s="73"/>
      <c r="D535" s="73"/>
      <c r="E535" s="14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c r="AC535" s="73"/>
    </row>
    <row r="536">
      <c r="A536" s="73"/>
      <c r="B536" s="142"/>
      <c r="C536" s="73"/>
      <c r="D536" s="73"/>
      <c r="E536" s="14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c r="AC536" s="73"/>
    </row>
    <row r="537">
      <c r="A537" s="73"/>
      <c r="B537" s="142"/>
      <c r="C537" s="73"/>
      <c r="D537" s="73"/>
      <c r="E537" s="14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c r="AC537" s="73"/>
    </row>
    <row r="538">
      <c r="A538" s="73"/>
      <c r="B538" s="142"/>
      <c r="C538" s="73"/>
      <c r="D538" s="73"/>
      <c r="E538" s="14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c r="AC538" s="73"/>
    </row>
    <row r="539">
      <c r="A539" s="73"/>
      <c r="B539" s="142"/>
      <c r="C539" s="73"/>
      <c r="D539" s="73"/>
      <c r="E539" s="14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c r="AC539" s="73"/>
    </row>
    <row r="540">
      <c r="A540" s="73"/>
      <c r="B540" s="142"/>
      <c r="C540" s="73"/>
      <c r="D540" s="73"/>
      <c r="E540" s="14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c r="AC540" s="73"/>
    </row>
    <row r="541">
      <c r="A541" s="73"/>
      <c r="B541" s="142"/>
      <c r="C541" s="73"/>
      <c r="D541" s="73"/>
      <c r="E541" s="14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c r="AC541" s="73"/>
    </row>
    <row r="542">
      <c r="A542" s="73"/>
      <c r="B542" s="142"/>
      <c r="C542" s="73"/>
      <c r="D542" s="73"/>
      <c r="E542" s="14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c r="AC542" s="73"/>
    </row>
    <row r="543">
      <c r="A543" s="73"/>
      <c r="B543" s="142"/>
      <c r="C543" s="73"/>
      <c r="D543" s="73"/>
      <c r="E543" s="14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c r="AC543" s="73"/>
    </row>
    <row r="544">
      <c r="A544" s="73"/>
      <c r="B544" s="142"/>
      <c r="C544" s="73"/>
      <c r="D544" s="73"/>
      <c r="E544" s="14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c r="AC544" s="73"/>
    </row>
    <row r="545">
      <c r="A545" s="73"/>
      <c r="B545" s="142"/>
      <c r="C545" s="73"/>
      <c r="D545" s="73"/>
      <c r="E545" s="14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c r="AC545" s="73"/>
    </row>
    <row r="546">
      <c r="A546" s="73"/>
      <c r="B546" s="142"/>
      <c r="C546" s="73"/>
      <c r="D546" s="73"/>
      <c r="E546" s="14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c r="AC546" s="73"/>
    </row>
    <row r="547">
      <c r="A547" s="73"/>
      <c r="B547" s="142"/>
      <c r="C547" s="73"/>
      <c r="D547" s="73"/>
      <c r="E547" s="14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c r="AC547" s="73"/>
    </row>
    <row r="548">
      <c r="A548" s="73"/>
      <c r="B548" s="142"/>
      <c r="C548" s="73"/>
      <c r="D548" s="73"/>
      <c r="E548" s="14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c r="AC548" s="73"/>
    </row>
    <row r="549">
      <c r="A549" s="73"/>
      <c r="B549" s="142"/>
      <c r="C549" s="73"/>
      <c r="D549" s="73"/>
      <c r="E549" s="14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c r="AC549" s="73"/>
    </row>
    <row r="550">
      <c r="A550" s="73"/>
      <c r="B550" s="142"/>
      <c r="C550" s="73"/>
      <c r="D550" s="73"/>
      <c r="E550" s="14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c r="AC550" s="73"/>
    </row>
    <row r="551">
      <c r="A551" s="73"/>
      <c r="B551" s="142"/>
      <c r="C551" s="73"/>
      <c r="D551" s="73"/>
      <c r="E551" s="14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c r="AC551" s="73"/>
    </row>
    <row r="552">
      <c r="A552" s="73"/>
      <c r="B552" s="142"/>
      <c r="C552" s="73"/>
      <c r="D552" s="73"/>
      <c r="E552" s="14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c r="AC552" s="73"/>
    </row>
    <row r="553">
      <c r="A553" s="73"/>
      <c r="B553" s="142"/>
      <c r="C553" s="73"/>
      <c r="D553" s="73"/>
      <c r="E553" s="14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c r="AC553" s="73"/>
    </row>
    <row r="554">
      <c r="A554" s="73"/>
      <c r="B554" s="142"/>
      <c r="C554" s="73"/>
      <c r="D554" s="73"/>
      <c r="E554" s="14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c r="AC554" s="73"/>
    </row>
    <row r="555">
      <c r="A555" s="73"/>
      <c r="B555" s="142"/>
      <c r="C555" s="73"/>
      <c r="D555" s="73"/>
      <c r="E555" s="14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c r="AC555" s="73"/>
    </row>
    <row r="556">
      <c r="A556" s="73"/>
      <c r="B556" s="142"/>
      <c r="C556" s="73"/>
      <c r="D556" s="73"/>
      <c r="E556" s="14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c r="AC556" s="73"/>
    </row>
    <row r="557">
      <c r="A557" s="73"/>
      <c r="B557" s="142"/>
      <c r="C557" s="73"/>
      <c r="D557" s="73"/>
      <c r="E557" s="14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c r="AC557" s="73"/>
    </row>
    <row r="558">
      <c r="A558" s="73"/>
      <c r="B558" s="142"/>
      <c r="C558" s="73"/>
      <c r="D558" s="73"/>
      <c r="E558" s="14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c r="AC558" s="73"/>
    </row>
    <row r="559">
      <c r="A559" s="73"/>
      <c r="B559" s="142"/>
      <c r="C559" s="73"/>
      <c r="D559" s="73"/>
      <c r="E559" s="14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c r="AC559" s="73"/>
    </row>
    <row r="560">
      <c r="A560" s="73"/>
      <c r="B560" s="142"/>
      <c r="C560" s="73"/>
      <c r="D560" s="73"/>
      <c r="E560" s="14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c r="AC560" s="73"/>
    </row>
    <row r="561">
      <c r="A561" s="73"/>
      <c r="B561" s="142"/>
      <c r="C561" s="73"/>
      <c r="D561" s="73"/>
      <c r="E561" s="14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c r="AC561" s="73"/>
    </row>
    <row r="562">
      <c r="A562" s="73"/>
      <c r="B562" s="142"/>
      <c r="C562" s="73"/>
      <c r="D562" s="73"/>
      <c r="E562" s="14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c r="AC562" s="73"/>
    </row>
    <row r="563">
      <c r="A563" s="73"/>
      <c r="B563" s="142"/>
      <c r="C563" s="73"/>
      <c r="D563" s="73"/>
      <c r="E563" s="14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c r="AC563" s="73"/>
    </row>
    <row r="564">
      <c r="A564" s="73"/>
      <c r="B564" s="142"/>
      <c r="C564" s="73"/>
      <c r="D564" s="73"/>
      <c r="E564" s="14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c r="AC564" s="73"/>
    </row>
    <row r="565">
      <c r="A565" s="73"/>
      <c r="B565" s="142"/>
      <c r="C565" s="73"/>
      <c r="D565" s="73"/>
      <c r="E565" s="14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c r="AC565" s="73"/>
    </row>
    <row r="566">
      <c r="A566" s="73"/>
      <c r="B566" s="142"/>
      <c r="C566" s="73"/>
      <c r="D566" s="73"/>
      <c r="E566" s="14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c r="AC566" s="73"/>
    </row>
    <row r="567">
      <c r="A567" s="73"/>
      <c r="B567" s="142"/>
      <c r="C567" s="73"/>
      <c r="D567" s="73"/>
      <c r="E567" s="14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c r="AC567" s="73"/>
    </row>
    <row r="568">
      <c r="A568" s="73"/>
      <c r="B568" s="142"/>
      <c r="C568" s="73"/>
      <c r="D568" s="73"/>
      <c r="E568" s="14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c r="AC568" s="73"/>
    </row>
    <row r="569">
      <c r="A569" s="73"/>
      <c r="B569" s="142"/>
      <c r="C569" s="73"/>
      <c r="D569" s="73"/>
      <c r="E569" s="14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c r="AC569" s="73"/>
    </row>
    <row r="570">
      <c r="A570" s="73"/>
      <c r="B570" s="142"/>
      <c r="C570" s="73"/>
      <c r="D570" s="73"/>
      <c r="E570" s="14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c r="AC570" s="73"/>
    </row>
    <row r="571">
      <c r="A571" s="73"/>
      <c r="B571" s="142"/>
      <c r="C571" s="73"/>
      <c r="D571" s="73"/>
      <c r="E571" s="14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c r="AC571" s="73"/>
    </row>
    <row r="572">
      <c r="A572" s="73"/>
      <c r="B572" s="142"/>
      <c r="C572" s="73"/>
      <c r="D572" s="73"/>
      <c r="E572" s="14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c r="AC572" s="73"/>
    </row>
    <row r="573">
      <c r="A573" s="73"/>
      <c r="B573" s="142"/>
      <c r="C573" s="73"/>
      <c r="D573" s="73"/>
      <c r="E573" s="14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c r="AC573" s="73"/>
    </row>
    <row r="574">
      <c r="A574" s="73"/>
      <c r="B574" s="142"/>
      <c r="C574" s="73"/>
      <c r="D574" s="73"/>
      <c r="E574" s="14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c r="AC574" s="73"/>
    </row>
    <row r="575">
      <c r="A575" s="73"/>
      <c r="B575" s="142"/>
      <c r="C575" s="73"/>
      <c r="D575" s="73"/>
      <c r="E575" s="14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c r="AC575" s="73"/>
    </row>
    <row r="576">
      <c r="A576" s="73"/>
      <c r="B576" s="142"/>
      <c r="C576" s="73"/>
      <c r="D576" s="73"/>
      <c r="E576" s="14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c r="AC576" s="73"/>
    </row>
    <row r="577">
      <c r="A577" s="73"/>
      <c r="B577" s="142"/>
      <c r="C577" s="73"/>
      <c r="D577" s="73"/>
      <c r="E577" s="14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c r="AC577" s="73"/>
    </row>
    <row r="578">
      <c r="A578" s="73"/>
      <c r="B578" s="142"/>
      <c r="C578" s="73"/>
      <c r="D578" s="73"/>
      <c r="E578" s="14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c r="AC578" s="73"/>
    </row>
    <row r="579">
      <c r="A579" s="73"/>
      <c r="B579" s="142"/>
      <c r="C579" s="73"/>
      <c r="D579" s="73"/>
      <c r="E579" s="14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c r="AC579" s="73"/>
    </row>
    <row r="580">
      <c r="A580" s="73"/>
      <c r="B580" s="142"/>
      <c r="C580" s="73"/>
      <c r="D580" s="73"/>
      <c r="E580" s="14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c r="AC580" s="73"/>
    </row>
    <row r="581">
      <c r="A581" s="73"/>
      <c r="B581" s="142"/>
      <c r="C581" s="73"/>
      <c r="D581" s="73"/>
      <c r="E581" s="14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c r="AC581" s="73"/>
    </row>
    <row r="582">
      <c r="A582" s="73"/>
      <c r="B582" s="142"/>
      <c r="C582" s="73"/>
      <c r="D582" s="73"/>
      <c r="E582" s="14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c r="AC582" s="73"/>
    </row>
    <row r="583">
      <c r="A583" s="73"/>
      <c r="B583" s="142"/>
      <c r="C583" s="73"/>
      <c r="D583" s="73"/>
      <c r="E583" s="14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c r="AC583" s="73"/>
    </row>
    <row r="584">
      <c r="A584" s="73"/>
      <c r="B584" s="142"/>
      <c r="C584" s="73"/>
      <c r="D584" s="73"/>
      <c r="E584" s="14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c r="AC584" s="73"/>
    </row>
    <row r="585">
      <c r="A585" s="73"/>
      <c r="B585" s="142"/>
      <c r="C585" s="73"/>
      <c r="D585" s="73"/>
      <c r="E585" s="14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c r="AC585" s="73"/>
    </row>
    <row r="586">
      <c r="A586" s="73"/>
      <c r="B586" s="142"/>
      <c r="C586" s="73"/>
      <c r="D586" s="73"/>
      <c r="E586" s="14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c r="AC586" s="73"/>
    </row>
    <row r="587">
      <c r="A587" s="73"/>
      <c r="B587" s="142"/>
      <c r="C587" s="73"/>
      <c r="D587" s="73"/>
      <c r="E587" s="14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row>
    <row r="588">
      <c r="A588" s="73"/>
      <c r="B588" s="142"/>
      <c r="C588" s="73"/>
      <c r="D588" s="73"/>
      <c r="E588" s="14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row>
    <row r="589">
      <c r="A589" s="73"/>
      <c r="B589" s="142"/>
      <c r="C589" s="73"/>
      <c r="D589" s="73"/>
      <c r="E589" s="14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row>
    <row r="590">
      <c r="A590" s="73"/>
      <c r="B590" s="142"/>
      <c r="C590" s="73"/>
      <c r="D590" s="73"/>
      <c r="E590" s="14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c r="AC590" s="73"/>
    </row>
    <row r="591">
      <c r="A591" s="73"/>
      <c r="B591" s="142"/>
      <c r="C591" s="73"/>
      <c r="D591" s="73"/>
      <c r="E591" s="14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c r="AC591" s="73"/>
    </row>
    <row r="592">
      <c r="A592" s="73"/>
      <c r="B592" s="142"/>
      <c r="C592" s="73"/>
      <c r="D592" s="73"/>
      <c r="E592" s="14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c r="AC592" s="73"/>
    </row>
    <row r="593">
      <c r="A593" s="73"/>
      <c r="B593" s="142"/>
      <c r="C593" s="73"/>
      <c r="D593" s="73"/>
      <c r="E593" s="14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c r="AC593" s="73"/>
    </row>
    <row r="594">
      <c r="A594" s="73"/>
      <c r="B594" s="142"/>
      <c r="C594" s="73"/>
      <c r="D594" s="73"/>
      <c r="E594" s="14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c r="AC594" s="73"/>
    </row>
    <row r="595">
      <c r="A595" s="73"/>
      <c r="B595" s="142"/>
      <c r="C595" s="73"/>
      <c r="D595" s="73"/>
      <c r="E595" s="14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c r="AC595" s="73"/>
    </row>
    <row r="596">
      <c r="A596" s="73"/>
      <c r="B596" s="142"/>
      <c r="C596" s="73"/>
      <c r="D596" s="73"/>
      <c r="E596" s="14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c r="AC596" s="73"/>
    </row>
    <row r="597">
      <c r="A597" s="73"/>
      <c r="B597" s="142"/>
      <c r="C597" s="73"/>
      <c r="D597" s="73"/>
      <c r="E597" s="14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c r="AC597" s="73"/>
    </row>
    <row r="598">
      <c r="A598" s="73"/>
      <c r="B598" s="142"/>
      <c r="C598" s="73"/>
      <c r="D598" s="73"/>
      <c r="E598" s="14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c r="AC598" s="73"/>
    </row>
    <row r="599">
      <c r="A599" s="73"/>
      <c r="B599" s="142"/>
      <c r="C599" s="73"/>
      <c r="D599" s="73"/>
      <c r="E599" s="14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c r="AC599" s="73"/>
    </row>
    <row r="600">
      <c r="A600" s="73"/>
      <c r="B600" s="142"/>
      <c r="C600" s="73"/>
      <c r="D600" s="73"/>
      <c r="E600" s="14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c r="AC600" s="73"/>
    </row>
    <row r="601">
      <c r="A601" s="73"/>
      <c r="B601" s="142"/>
      <c r="C601" s="73"/>
      <c r="D601" s="73"/>
      <c r="E601" s="14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c r="AC601" s="73"/>
    </row>
    <row r="602">
      <c r="A602" s="73"/>
      <c r="B602" s="142"/>
      <c r="C602" s="73"/>
      <c r="D602" s="73"/>
      <c r="E602" s="14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c r="AC602" s="73"/>
    </row>
    <row r="603">
      <c r="A603" s="73"/>
      <c r="B603" s="142"/>
      <c r="C603" s="73"/>
      <c r="D603" s="73"/>
      <c r="E603" s="14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c r="AC603" s="73"/>
    </row>
    <row r="604">
      <c r="A604" s="73"/>
      <c r="B604" s="142"/>
      <c r="C604" s="73"/>
      <c r="D604" s="73"/>
      <c r="E604" s="14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c r="AC604" s="73"/>
    </row>
    <row r="605">
      <c r="A605" s="73"/>
      <c r="B605" s="142"/>
      <c r="C605" s="73"/>
      <c r="D605" s="73"/>
      <c r="E605" s="14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c r="AC605" s="73"/>
    </row>
    <row r="606">
      <c r="A606" s="73"/>
      <c r="B606" s="142"/>
      <c r="C606" s="73"/>
      <c r="D606" s="73"/>
      <c r="E606" s="14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c r="AC606" s="73"/>
    </row>
    <row r="607">
      <c r="A607" s="73"/>
      <c r="B607" s="142"/>
      <c r="C607" s="73"/>
      <c r="D607" s="73"/>
      <c r="E607" s="14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c r="AC607" s="73"/>
    </row>
    <row r="608">
      <c r="A608" s="73"/>
      <c r="B608" s="142"/>
      <c r="C608" s="73"/>
      <c r="D608" s="73"/>
      <c r="E608" s="14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c r="AC608" s="73"/>
    </row>
    <row r="609">
      <c r="A609" s="73"/>
      <c r="B609" s="142"/>
      <c r="C609" s="73"/>
      <c r="D609" s="73"/>
      <c r="E609" s="14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c r="AC609" s="73"/>
    </row>
    <row r="610">
      <c r="A610" s="73"/>
      <c r="B610" s="142"/>
      <c r="C610" s="73"/>
      <c r="D610" s="73"/>
      <c r="E610" s="14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c r="AC610" s="73"/>
    </row>
    <row r="611">
      <c r="A611" s="73"/>
      <c r="B611" s="142"/>
      <c r="C611" s="73"/>
      <c r="D611" s="73"/>
      <c r="E611" s="14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c r="AC611" s="73"/>
    </row>
    <row r="612">
      <c r="A612" s="73"/>
      <c r="B612" s="142"/>
      <c r="C612" s="73"/>
      <c r="D612" s="73"/>
      <c r="E612" s="14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c r="AC612" s="73"/>
    </row>
    <row r="613">
      <c r="A613" s="73"/>
      <c r="B613" s="142"/>
      <c r="C613" s="73"/>
      <c r="D613" s="73"/>
      <c r="E613" s="14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c r="AC613" s="73"/>
    </row>
    <row r="614">
      <c r="A614" s="73"/>
      <c r="B614" s="142"/>
      <c r="C614" s="73"/>
      <c r="D614" s="73"/>
      <c r="E614" s="14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c r="AC614" s="73"/>
    </row>
    <row r="615">
      <c r="A615" s="73"/>
      <c r="B615" s="142"/>
      <c r="C615" s="73"/>
      <c r="D615" s="73"/>
      <c r="E615" s="14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c r="AC615" s="73"/>
    </row>
    <row r="616">
      <c r="A616" s="73"/>
      <c r="B616" s="142"/>
      <c r="C616" s="73"/>
      <c r="D616" s="73"/>
      <c r="E616" s="14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c r="AC616" s="73"/>
    </row>
    <row r="617">
      <c r="A617" s="73"/>
      <c r="B617" s="142"/>
      <c r="C617" s="73"/>
      <c r="D617" s="73"/>
      <c r="E617" s="14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c r="AC617" s="73"/>
    </row>
    <row r="618">
      <c r="A618" s="73"/>
      <c r="B618" s="142"/>
      <c r="C618" s="73"/>
      <c r="D618" s="73"/>
      <c r="E618" s="14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c r="AC618" s="73"/>
    </row>
    <row r="619">
      <c r="A619" s="73"/>
      <c r="B619" s="142"/>
      <c r="C619" s="73"/>
      <c r="D619" s="73"/>
      <c r="E619" s="14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c r="AC619" s="73"/>
    </row>
    <row r="620">
      <c r="A620" s="73"/>
      <c r="B620" s="142"/>
      <c r="C620" s="73"/>
      <c r="D620" s="73"/>
      <c r="E620" s="14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c r="AC620" s="73"/>
    </row>
    <row r="621">
      <c r="A621" s="73"/>
      <c r="B621" s="142"/>
      <c r="C621" s="73"/>
      <c r="D621" s="73"/>
      <c r="E621" s="14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c r="AC621" s="73"/>
    </row>
    <row r="622">
      <c r="A622" s="73"/>
      <c r="B622" s="142"/>
      <c r="C622" s="73"/>
      <c r="D622" s="73"/>
      <c r="E622" s="14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c r="AC622" s="73"/>
    </row>
    <row r="623">
      <c r="A623" s="73"/>
      <c r="B623" s="142"/>
      <c r="C623" s="73"/>
      <c r="D623" s="73"/>
      <c r="E623" s="14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c r="AC623" s="73"/>
    </row>
    <row r="624">
      <c r="A624" s="73"/>
      <c r="B624" s="142"/>
      <c r="C624" s="73"/>
      <c r="D624" s="73"/>
      <c r="E624" s="14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c r="AC624" s="73"/>
    </row>
    <row r="625">
      <c r="A625" s="73"/>
      <c r="B625" s="142"/>
      <c r="C625" s="73"/>
      <c r="D625" s="73"/>
      <c r="E625" s="14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c r="AC625" s="73"/>
    </row>
    <row r="626">
      <c r="A626" s="73"/>
      <c r="B626" s="142"/>
      <c r="C626" s="73"/>
      <c r="D626" s="73"/>
      <c r="E626" s="14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c r="AC626" s="73"/>
    </row>
    <row r="627">
      <c r="A627" s="73"/>
      <c r="B627" s="142"/>
      <c r="C627" s="73"/>
      <c r="D627" s="73"/>
      <c r="E627" s="14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c r="AC627" s="73"/>
    </row>
    <row r="628">
      <c r="A628" s="73"/>
      <c r="B628" s="142"/>
      <c r="C628" s="73"/>
      <c r="D628" s="73"/>
      <c r="E628" s="14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c r="AC628" s="73"/>
    </row>
    <row r="629">
      <c r="A629" s="73"/>
      <c r="B629" s="142"/>
      <c r="C629" s="73"/>
      <c r="D629" s="73"/>
      <c r="E629" s="14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c r="AC629" s="73"/>
    </row>
    <row r="630">
      <c r="A630" s="73"/>
      <c r="B630" s="142"/>
      <c r="C630" s="73"/>
      <c r="D630" s="73"/>
      <c r="E630" s="14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c r="AC630" s="73"/>
    </row>
    <row r="631">
      <c r="A631" s="73"/>
      <c r="B631" s="142"/>
      <c r="C631" s="73"/>
      <c r="D631" s="73"/>
      <c r="E631" s="14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c r="AC631" s="73"/>
    </row>
    <row r="632">
      <c r="A632" s="73"/>
      <c r="B632" s="142"/>
      <c r="C632" s="73"/>
      <c r="D632" s="73"/>
      <c r="E632" s="14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c r="AC632" s="73"/>
    </row>
    <row r="633">
      <c r="A633" s="73"/>
      <c r="B633" s="142"/>
      <c r="C633" s="73"/>
      <c r="D633" s="73"/>
      <c r="E633" s="14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c r="AC633" s="73"/>
    </row>
    <row r="634">
      <c r="A634" s="73"/>
      <c r="B634" s="142"/>
      <c r="C634" s="73"/>
      <c r="D634" s="73"/>
      <c r="E634" s="14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c r="AC634" s="73"/>
    </row>
    <row r="635">
      <c r="A635" s="73"/>
      <c r="B635" s="142"/>
      <c r="C635" s="73"/>
      <c r="D635" s="73"/>
      <c r="E635" s="14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c r="AC635" s="73"/>
    </row>
    <row r="636">
      <c r="A636" s="73"/>
      <c r="B636" s="142"/>
      <c r="C636" s="73"/>
      <c r="D636" s="73"/>
      <c r="E636" s="14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c r="AC636" s="73"/>
    </row>
    <row r="637">
      <c r="A637" s="73"/>
      <c r="B637" s="142"/>
      <c r="C637" s="73"/>
      <c r="D637" s="73"/>
      <c r="E637" s="14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c r="AC637" s="73"/>
    </row>
    <row r="638">
      <c r="A638" s="73"/>
      <c r="B638" s="142"/>
      <c r="C638" s="73"/>
      <c r="D638" s="73"/>
      <c r="E638" s="14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c r="AC638" s="73"/>
    </row>
    <row r="639">
      <c r="A639" s="73"/>
      <c r="B639" s="142"/>
      <c r="C639" s="73"/>
      <c r="D639" s="73"/>
      <c r="E639" s="14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c r="AC639" s="73"/>
    </row>
    <row r="640">
      <c r="A640" s="73"/>
      <c r="B640" s="142"/>
      <c r="C640" s="73"/>
      <c r="D640" s="73"/>
      <c r="E640" s="14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c r="AC640" s="73"/>
    </row>
    <row r="641">
      <c r="A641" s="73"/>
      <c r="B641" s="142"/>
      <c r="C641" s="73"/>
      <c r="D641" s="73"/>
      <c r="E641" s="14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c r="AC641" s="73"/>
    </row>
    <row r="642">
      <c r="A642" s="73"/>
      <c r="B642" s="142"/>
      <c r="C642" s="73"/>
      <c r="D642" s="73"/>
      <c r="E642" s="14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c r="AC642" s="73"/>
    </row>
    <row r="643">
      <c r="A643" s="73"/>
      <c r="B643" s="142"/>
      <c r="C643" s="73"/>
      <c r="D643" s="73"/>
      <c r="E643" s="14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c r="AC643" s="73"/>
    </row>
    <row r="644">
      <c r="A644" s="73"/>
      <c r="B644" s="142"/>
      <c r="C644" s="73"/>
      <c r="D644" s="73"/>
      <c r="E644" s="14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c r="AC644" s="73"/>
    </row>
    <row r="645">
      <c r="A645" s="73"/>
      <c r="B645" s="142"/>
      <c r="C645" s="73"/>
      <c r="D645" s="73"/>
      <c r="E645" s="14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c r="AC645" s="73"/>
    </row>
    <row r="646">
      <c r="A646" s="73"/>
      <c r="B646" s="142"/>
      <c r="C646" s="73"/>
      <c r="D646" s="73"/>
      <c r="E646" s="14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c r="AC646" s="73"/>
    </row>
    <row r="647">
      <c r="A647" s="73"/>
      <c r="B647" s="142"/>
      <c r="C647" s="73"/>
      <c r="D647" s="73"/>
      <c r="E647" s="14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c r="AC647" s="73"/>
    </row>
    <row r="648">
      <c r="A648" s="73"/>
      <c r="B648" s="142"/>
      <c r="C648" s="73"/>
      <c r="D648" s="73"/>
      <c r="E648" s="14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c r="AC648" s="73"/>
    </row>
    <row r="649">
      <c r="A649" s="73"/>
      <c r="B649" s="142"/>
      <c r="C649" s="73"/>
      <c r="D649" s="73"/>
      <c r="E649" s="14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c r="AC649" s="73"/>
    </row>
    <row r="650">
      <c r="A650" s="73"/>
      <c r="B650" s="142"/>
      <c r="C650" s="73"/>
      <c r="D650" s="73"/>
      <c r="E650" s="14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c r="AC650" s="73"/>
    </row>
    <row r="651">
      <c r="A651" s="73"/>
      <c r="B651" s="142"/>
      <c r="C651" s="73"/>
      <c r="D651" s="73"/>
      <c r="E651" s="14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c r="AC651" s="73"/>
    </row>
    <row r="652">
      <c r="A652" s="73"/>
      <c r="B652" s="142"/>
      <c r="C652" s="73"/>
      <c r="D652" s="73"/>
      <c r="E652" s="14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c r="AC652" s="73"/>
    </row>
    <row r="653">
      <c r="A653" s="73"/>
      <c r="B653" s="142"/>
      <c r="C653" s="73"/>
      <c r="D653" s="73"/>
      <c r="E653" s="14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c r="AC653" s="73"/>
    </row>
    <row r="654">
      <c r="A654" s="73"/>
      <c r="B654" s="142"/>
      <c r="C654" s="73"/>
      <c r="D654" s="73"/>
      <c r="E654" s="14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c r="AC654" s="73"/>
    </row>
    <row r="655">
      <c r="A655" s="73"/>
      <c r="B655" s="142"/>
      <c r="C655" s="73"/>
      <c r="D655" s="73"/>
      <c r="E655" s="14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c r="AC655" s="73"/>
    </row>
    <row r="656">
      <c r="A656" s="73"/>
      <c r="B656" s="142"/>
      <c r="C656" s="73"/>
      <c r="D656" s="73"/>
      <c r="E656" s="14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c r="AC656" s="73"/>
    </row>
    <row r="657">
      <c r="A657" s="73"/>
      <c r="B657" s="142"/>
      <c r="C657" s="73"/>
      <c r="D657" s="73"/>
      <c r="E657" s="14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c r="AC657" s="73"/>
    </row>
    <row r="658">
      <c r="A658" s="73"/>
      <c r="B658" s="142"/>
      <c r="C658" s="73"/>
      <c r="D658" s="73"/>
      <c r="E658" s="14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c r="AC658" s="73"/>
    </row>
    <row r="659">
      <c r="A659" s="73"/>
      <c r="B659" s="142"/>
      <c r="C659" s="73"/>
      <c r="D659" s="73"/>
      <c r="E659" s="14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c r="AC659" s="73"/>
    </row>
    <row r="660">
      <c r="A660" s="73"/>
      <c r="B660" s="142"/>
      <c r="C660" s="73"/>
      <c r="D660" s="73"/>
      <c r="E660" s="14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c r="AC660" s="73"/>
    </row>
    <row r="661">
      <c r="A661" s="73"/>
      <c r="B661" s="142"/>
      <c r="C661" s="73"/>
      <c r="D661" s="73"/>
      <c r="E661" s="14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c r="AC661" s="73"/>
    </row>
    <row r="662">
      <c r="A662" s="73"/>
      <c r="B662" s="142"/>
      <c r="C662" s="73"/>
      <c r="D662" s="73"/>
      <c r="E662" s="14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c r="AC662" s="73"/>
    </row>
    <row r="663">
      <c r="A663" s="73"/>
      <c r="B663" s="142"/>
      <c r="C663" s="73"/>
      <c r="D663" s="73"/>
      <c r="E663" s="14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c r="AC663" s="73"/>
    </row>
    <row r="664">
      <c r="A664" s="73"/>
      <c r="B664" s="142"/>
      <c r="C664" s="73"/>
      <c r="D664" s="73"/>
      <c r="E664" s="14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c r="AC664" s="73"/>
    </row>
    <row r="665">
      <c r="A665" s="73"/>
      <c r="B665" s="142"/>
      <c r="C665" s="73"/>
      <c r="D665" s="73"/>
      <c r="E665" s="14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c r="AC665" s="73"/>
    </row>
    <row r="666">
      <c r="A666" s="73"/>
      <c r="B666" s="142"/>
      <c r="C666" s="73"/>
      <c r="D666" s="73"/>
      <c r="E666" s="14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c r="AC666" s="73"/>
    </row>
    <row r="667">
      <c r="A667" s="73"/>
      <c r="B667" s="142"/>
      <c r="C667" s="73"/>
      <c r="D667" s="73"/>
      <c r="E667" s="14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c r="AC667" s="73"/>
    </row>
    <row r="668">
      <c r="A668" s="73"/>
      <c r="B668" s="142"/>
      <c r="C668" s="73"/>
      <c r="D668" s="73"/>
      <c r="E668" s="14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c r="AC668" s="73"/>
    </row>
    <row r="669">
      <c r="A669" s="73"/>
      <c r="B669" s="142"/>
      <c r="C669" s="73"/>
      <c r="D669" s="73"/>
      <c r="E669" s="14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c r="AC669" s="73"/>
    </row>
    <row r="670">
      <c r="A670" s="73"/>
      <c r="B670" s="142"/>
      <c r="C670" s="73"/>
      <c r="D670" s="73"/>
      <c r="E670" s="14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c r="AC670" s="73"/>
    </row>
    <row r="671">
      <c r="A671" s="73"/>
      <c r="B671" s="142"/>
      <c r="C671" s="73"/>
      <c r="D671" s="73"/>
      <c r="E671" s="14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c r="AC671" s="73"/>
    </row>
    <row r="672">
      <c r="A672" s="73"/>
      <c r="B672" s="142"/>
      <c r="C672" s="73"/>
      <c r="D672" s="73"/>
      <c r="E672" s="14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c r="AC672" s="73"/>
    </row>
    <row r="673">
      <c r="A673" s="73"/>
      <c r="B673" s="142"/>
      <c r="C673" s="73"/>
      <c r="D673" s="73"/>
      <c r="E673" s="14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c r="AC673" s="73"/>
    </row>
    <row r="674">
      <c r="A674" s="73"/>
      <c r="B674" s="142"/>
      <c r="C674" s="73"/>
      <c r="D674" s="73"/>
      <c r="E674" s="14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c r="AC674" s="73"/>
    </row>
    <row r="675">
      <c r="A675" s="73"/>
      <c r="B675" s="142"/>
      <c r="C675" s="73"/>
      <c r="D675" s="73"/>
      <c r="E675" s="14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c r="AC675" s="73"/>
    </row>
    <row r="676">
      <c r="A676" s="73"/>
      <c r="B676" s="142"/>
      <c r="C676" s="73"/>
      <c r="D676" s="73"/>
      <c r="E676" s="14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c r="AC676" s="73"/>
    </row>
    <row r="677">
      <c r="A677" s="73"/>
      <c r="B677" s="142"/>
      <c r="C677" s="73"/>
      <c r="D677" s="73"/>
      <c r="E677" s="14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c r="AC677" s="73"/>
    </row>
    <row r="678">
      <c r="A678" s="73"/>
      <c r="B678" s="142"/>
      <c r="C678" s="73"/>
      <c r="D678" s="73"/>
      <c r="E678" s="14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c r="AC678" s="73"/>
    </row>
    <row r="679">
      <c r="A679" s="73"/>
      <c r="B679" s="142"/>
      <c r="C679" s="73"/>
      <c r="D679" s="73"/>
      <c r="E679" s="14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c r="AC679" s="73"/>
    </row>
    <row r="680">
      <c r="A680" s="73"/>
      <c r="B680" s="142"/>
      <c r="C680" s="73"/>
      <c r="D680" s="73"/>
      <c r="E680" s="14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c r="AC680" s="73"/>
    </row>
    <row r="681">
      <c r="A681" s="73"/>
      <c r="B681" s="142"/>
      <c r="C681" s="73"/>
      <c r="D681" s="73"/>
      <c r="E681" s="14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c r="AC681" s="73"/>
    </row>
    <row r="682">
      <c r="A682" s="73"/>
      <c r="B682" s="142"/>
      <c r="C682" s="73"/>
      <c r="D682" s="73"/>
      <c r="E682" s="14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c r="AC682" s="73"/>
    </row>
    <row r="683">
      <c r="A683" s="73"/>
      <c r="B683" s="142"/>
      <c r="C683" s="73"/>
      <c r="D683" s="73"/>
      <c r="E683" s="14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c r="AC683" s="73"/>
    </row>
    <row r="684">
      <c r="A684" s="73"/>
      <c r="B684" s="142"/>
      <c r="C684" s="73"/>
      <c r="D684" s="73"/>
      <c r="E684" s="14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c r="AC684" s="73"/>
    </row>
    <row r="685">
      <c r="A685" s="73"/>
      <c r="B685" s="142"/>
      <c r="C685" s="73"/>
      <c r="D685" s="73"/>
      <c r="E685" s="14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c r="AC685" s="73"/>
    </row>
    <row r="686">
      <c r="A686" s="73"/>
      <c r="B686" s="142"/>
      <c r="C686" s="73"/>
      <c r="D686" s="73"/>
      <c r="E686" s="14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c r="AC686" s="73"/>
    </row>
    <row r="687">
      <c r="A687" s="73"/>
      <c r="B687" s="142"/>
      <c r="C687" s="73"/>
      <c r="D687" s="73"/>
      <c r="E687" s="14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c r="AC687" s="73"/>
    </row>
    <row r="688">
      <c r="A688" s="73"/>
      <c r="B688" s="142"/>
      <c r="C688" s="73"/>
      <c r="D688" s="73"/>
      <c r="E688" s="14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c r="AC688" s="73"/>
    </row>
    <row r="689">
      <c r="A689" s="73"/>
      <c r="B689" s="142"/>
      <c r="C689" s="73"/>
      <c r="D689" s="73"/>
      <c r="E689" s="14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c r="AC689" s="73"/>
    </row>
    <row r="690">
      <c r="A690" s="73"/>
      <c r="B690" s="142"/>
      <c r="C690" s="73"/>
      <c r="D690" s="73"/>
      <c r="E690" s="14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c r="AC690" s="73"/>
    </row>
    <row r="691">
      <c r="A691" s="73"/>
      <c r="B691" s="142"/>
      <c r="C691" s="73"/>
      <c r="D691" s="73"/>
      <c r="E691" s="14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c r="AC691" s="73"/>
    </row>
    <row r="692">
      <c r="A692" s="73"/>
      <c r="B692" s="142"/>
      <c r="C692" s="73"/>
      <c r="D692" s="73"/>
      <c r="E692" s="14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c r="AC692" s="73"/>
    </row>
    <row r="693">
      <c r="A693" s="73"/>
      <c r="B693" s="142"/>
      <c r="C693" s="73"/>
      <c r="D693" s="73"/>
      <c r="E693" s="14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c r="AC693" s="73"/>
    </row>
    <row r="694">
      <c r="A694" s="73"/>
      <c r="B694" s="142"/>
      <c r="C694" s="73"/>
      <c r="D694" s="73"/>
      <c r="E694" s="14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c r="AC694" s="73"/>
    </row>
    <row r="695">
      <c r="A695" s="73"/>
      <c r="B695" s="142"/>
      <c r="C695" s="73"/>
      <c r="D695" s="73"/>
      <c r="E695" s="14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c r="AC695" s="73"/>
    </row>
    <row r="696">
      <c r="A696" s="73"/>
      <c r="B696" s="142"/>
      <c r="C696" s="73"/>
      <c r="D696" s="73"/>
      <c r="E696" s="14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c r="AC696" s="73"/>
    </row>
    <row r="697">
      <c r="A697" s="73"/>
      <c r="B697" s="142"/>
      <c r="C697" s="73"/>
      <c r="D697" s="73"/>
      <c r="E697" s="14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c r="AC697" s="73"/>
    </row>
    <row r="698">
      <c r="A698" s="73"/>
      <c r="B698" s="142"/>
      <c r="C698" s="73"/>
      <c r="D698" s="73"/>
      <c r="E698" s="14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c r="AC698" s="73"/>
    </row>
    <row r="699">
      <c r="A699" s="73"/>
      <c r="B699" s="142"/>
      <c r="C699" s="73"/>
      <c r="D699" s="73"/>
      <c r="E699" s="14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c r="AC699" s="73"/>
    </row>
    <row r="700">
      <c r="A700" s="73"/>
      <c r="B700" s="142"/>
      <c r="C700" s="73"/>
      <c r="D700" s="73"/>
      <c r="E700" s="14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c r="AC700" s="73"/>
    </row>
    <row r="701">
      <c r="A701" s="73"/>
      <c r="B701" s="142"/>
      <c r="C701" s="73"/>
      <c r="D701" s="73"/>
      <c r="E701" s="14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c r="AC701" s="73"/>
    </row>
    <row r="702">
      <c r="A702" s="73"/>
      <c r="B702" s="142"/>
      <c r="C702" s="73"/>
      <c r="D702" s="73"/>
      <c r="E702" s="14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c r="AC702" s="73"/>
    </row>
    <row r="703">
      <c r="A703" s="73"/>
      <c r="B703" s="142"/>
      <c r="C703" s="73"/>
      <c r="D703" s="73"/>
      <c r="E703" s="14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c r="AC703" s="73"/>
    </row>
    <row r="704">
      <c r="A704" s="73"/>
      <c r="B704" s="142"/>
      <c r="C704" s="73"/>
      <c r="D704" s="73"/>
      <c r="E704" s="14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c r="AC704" s="73"/>
    </row>
    <row r="705">
      <c r="A705" s="73"/>
      <c r="B705" s="142"/>
      <c r="C705" s="73"/>
      <c r="D705" s="73"/>
      <c r="E705" s="14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c r="AC705" s="73"/>
    </row>
    <row r="706">
      <c r="A706" s="73"/>
      <c r="B706" s="142"/>
      <c r="C706" s="73"/>
      <c r="D706" s="73"/>
      <c r="E706" s="14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c r="AC706" s="73"/>
    </row>
    <row r="707">
      <c r="A707" s="73"/>
      <c r="B707" s="142"/>
      <c r="C707" s="73"/>
      <c r="D707" s="73"/>
      <c r="E707" s="14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c r="AC707" s="73"/>
    </row>
    <row r="708">
      <c r="A708" s="73"/>
      <c r="B708" s="142"/>
      <c r="C708" s="73"/>
      <c r="D708" s="73"/>
      <c r="E708" s="14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c r="AC708" s="73"/>
    </row>
    <row r="709">
      <c r="A709" s="73"/>
      <c r="B709" s="142"/>
      <c r="C709" s="73"/>
      <c r="D709" s="73"/>
      <c r="E709" s="14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c r="AC709" s="73"/>
    </row>
    <row r="710">
      <c r="A710" s="73"/>
      <c r="B710" s="142"/>
      <c r="C710" s="73"/>
      <c r="D710" s="73"/>
      <c r="E710" s="14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c r="AC710" s="73"/>
    </row>
    <row r="711">
      <c r="A711" s="73"/>
      <c r="B711" s="142"/>
      <c r="C711" s="73"/>
      <c r="D711" s="73"/>
      <c r="E711" s="14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c r="AC711" s="73"/>
    </row>
    <row r="712">
      <c r="A712" s="73"/>
      <c r="B712" s="142"/>
      <c r="C712" s="73"/>
      <c r="D712" s="73"/>
      <c r="E712" s="14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c r="AC712" s="73"/>
    </row>
    <row r="713">
      <c r="A713" s="73"/>
      <c r="B713" s="142"/>
      <c r="C713" s="73"/>
      <c r="D713" s="73"/>
      <c r="E713" s="14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c r="AC713" s="73"/>
    </row>
    <row r="714">
      <c r="A714" s="73"/>
      <c r="B714" s="142"/>
      <c r="C714" s="73"/>
      <c r="D714" s="73"/>
      <c r="E714" s="14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c r="AC714" s="73"/>
    </row>
    <row r="715">
      <c r="A715" s="73"/>
      <c r="B715" s="142"/>
      <c r="C715" s="73"/>
      <c r="D715" s="73"/>
      <c r="E715" s="14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c r="AC715" s="73"/>
    </row>
    <row r="716">
      <c r="A716" s="73"/>
      <c r="B716" s="142"/>
      <c r="C716" s="73"/>
      <c r="D716" s="73"/>
      <c r="E716" s="14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c r="AC716" s="73"/>
    </row>
    <row r="717">
      <c r="A717" s="73"/>
      <c r="B717" s="142"/>
      <c r="C717" s="73"/>
      <c r="D717" s="73"/>
      <c r="E717" s="14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c r="AC717" s="73"/>
    </row>
    <row r="718">
      <c r="A718" s="73"/>
      <c r="B718" s="142"/>
      <c r="C718" s="73"/>
      <c r="D718" s="73"/>
      <c r="E718" s="14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c r="AC718" s="73"/>
    </row>
    <row r="719">
      <c r="A719" s="73"/>
      <c r="B719" s="142"/>
      <c r="C719" s="73"/>
      <c r="D719" s="73"/>
      <c r="E719" s="14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c r="AC719" s="73"/>
    </row>
    <row r="720">
      <c r="A720" s="73"/>
      <c r="B720" s="142"/>
      <c r="C720" s="73"/>
      <c r="D720" s="73"/>
      <c r="E720" s="14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c r="AC720" s="73"/>
    </row>
    <row r="721">
      <c r="A721" s="73"/>
      <c r="B721" s="142"/>
      <c r="C721" s="73"/>
      <c r="D721" s="73"/>
      <c r="E721" s="14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row>
    <row r="722">
      <c r="A722" s="73"/>
      <c r="B722" s="142"/>
      <c r="C722" s="73"/>
      <c r="D722" s="73"/>
      <c r="E722" s="14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c r="AC722" s="73"/>
    </row>
    <row r="723">
      <c r="A723" s="73"/>
      <c r="B723" s="142"/>
      <c r="C723" s="73"/>
      <c r="D723" s="73"/>
      <c r="E723" s="14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c r="AC723" s="73"/>
    </row>
    <row r="724">
      <c r="A724" s="73"/>
      <c r="B724" s="142"/>
      <c r="C724" s="73"/>
      <c r="D724" s="73"/>
      <c r="E724" s="14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c r="AC724" s="73"/>
    </row>
    <row r="725">
      <c r="A725" s="73"/>
      <c r="B725" s="142"/>
      <c r="C725" s="73"/>
      <c r="D725" s="73"/>
      <c r="E725" s="14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c r="AC725" s="73"/>
    </row>
    <row r="726">
      <c r="A726" s="73"/>
      <c r="B726" s="142"/>
      <c r="C726" s="73"/>
      <c r="D726" s="73"/>
      <c r="E726" s="14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c r="AC726" s="73"/>
    </row>
    <row r="727">
      <c r="A727" s="73"/>
      <c r="B727" s="142"/>
      <c r="C727" s="73"/>
      <c r="D727" s="73"/>
      <c r="E727" s="14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c r="AC727" s="73"/>
    </row>
    <row r="728">
      <c r="A728" s="73"/>
      <c r="B728" s="142"/>
      <c r="C728" s="73"/>
      <c r="D728" s="73"/>
      <c r="E728" s="14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c r="AC728" s="73"/>
    </row>
    <row r="729">
      <c r="A729" s="73"/>
      <c r="B729" s="142"/>
      <c r="C729" s="73"/>
      <c r="D729" s="73"/>
      <c r="E729" s="14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c r="AC729" s="73"/>
    </row>
    <row r="730">
      <c r="A730" s="73"/>
      <c r="B730" s="142"/>
      <c r="C730" s="73"/>
      <c r="D730" s="73"/>
      <c r="E730" s="14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c r="AC730" s="73"/>
    </row>
    <row r="731">
      <c r="A731" s="73"/>
      <c r="B731" s="142"/>
      <c r="C731" s="73"/>
      <c r="D731" s="73"/>
      <c r="E731" s="14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c r="AC731" s="73"/>
    </row>
    <row r="732">
      <c r="A732" s="73"/>
      <c r="B732" s="142"/>
      <c r="C732" s="73"/>
      <c r="D732" s="73"/>
      <c r="E732" s="14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c r="AC732" s="73"/>
    </row>
    <row r="733">
      <c r="A733" s="73"/>
      <c r="B733" s="142"/>
      <c r="C733" s="73"/>
      <c r="D733" s="73"/>
      <c r="E733" s="14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c r="AC733" s="73"/>
    </row>
    <row r="734">
      <c r="A734" s="73"/>
      <c r="B734" s="142"/>
      <c r="C734" s="73"/>
      <c r="D734" s="73"/>
      <c r="E734" s="14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c r="AC734" s="73"/>
    </row>
    <row r="735">
      <c r="A735" s="73"/>
      <c r="B735" s="142"/>
      <c r="C735" s="73"/>
      <c r="D735" s="73"/>
      <c r="E735" s="14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c r="AC735" s="73"/>
    </row>
    <row r="736">
      <c r="A736" s="73"/>
      <c r="B736" s="142"/>
      <c r="C736" s="73"/>
      <c r="D736" s="73"/>
      <c r="E736" s="14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c r="AC736" s="73"/>
    </row>
    <row r="737">
      <c r="A737" s="73"/>
      <c r="B737" s="142"/>
      <c r="C737" s="73"/>
      <c r="D737" s="73"/>
      <c r="E737" s="14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c r="AC737" s="73"/>
    </row>
    <row r="738">
      <c r="A738" s="73"/>
      <c r="B738" s="142"/>
      <c r="C738" s="73"/>
      <c r="D738" s="73"/>
      <c r="E738" s="14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c r="AC738" s="73"/>
    </row>
    <row r="739">
      <c r="A739" s="73"/>
      <c r="B739" s="142"/>
      <c r="C739" s="73"/>
      <c r="D739" s="73"/>
      <c r="E739" s="14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c r="AC739" s="73"/>
    </row>
    <row r="740">
      <c r="A740" s="73"/>
      <c r="B740" s="142"/>
      <c r="C740" s="73"/>
      <c r="D740" s="73"/>
      <c r="E740" s="14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c r="AC740" s="73"/>
    </row>
    <row r="741">
      <c r="A741" s="73"/>
      <c r="B741" s="142"/>
      <c r="C741" s="73"/>
      <c r="D741" s="73"/>
      <c r="E741" s="14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c r="AC741" s="73"/>
    </row>
    <row r="742">
      <c r="A742" s="73"/>
      <c r="B742" s="142"/>
      <c r="C742" s="73"/>
      <c r="D742" s="73"/>
      <c r="E742" s="14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c r="AC742" s="73"/>
    </row>
    <row r="743">
      <c r="A743" s="73"/>
      <c r="B743" s="142"/>
      <c r="C743" s="73"/>
      <c r="D743" s="73"/>
      <c r="E743" s="14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c r="AC743" s="73"/>
    </row>
    <row r="744">
      <c r="A744" s="73"/>
      <c r="B744" s="142"/>
      <c r="C744" s="73"/>
      <c r="D744" s="73"/>
      <c r="E744" s="14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c r="AC744" s="73"/>
    </row>
    <row r="745">
      <c r="A745" s="73"/>
      <c r="B745" s="142"/>
      <c r="C745" s="73"/>
      <c r="D745" s="73"/>
      <c r="E745" s="14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c r="AC745" s="73"/>
    </row>
    <row r="746">
      <c r="A746" s="73"/>
      <c r="B746" s="142"/>
      <c r="C746" s="73"/>
      <c r="D746" s="73"/>
      <c r="E746" s="14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c r="AC746" s="73"/>
    </row>
    <row r="747">
      <c r="A747" s="73"/>
      <c r="B747" s="142"/>
      <c r="C747" s="73"/>
      <c r="D747" s="73"/>
      <c r="E747" s="14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c r="AC747" s="73"/>
    </row>
    <row r="748">
      <c r="A748" s="73"/>
      <c r="B748" s="142"/>
      <c r="C748" s="73"/>
      <c r="D748" s="73"/>
      <c r="E748" s="14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c r="AC748" s="73"/>
    </row>
    <row r="749">
      <c r="A749" s="73"/>
      <c r="B749" s="142"/>
      <c r="C749" s="73"/>
      <c r="D749" s="73"/>
      <c r="E749" s="14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c r="AC749" s="73"/>
    </row>
    <row r="750">
      <c r="A750" s="73"/>
      <c r="B750" s="142"/>
      <c r="C750" s="73"/>
      <c r="D750" s="73"/>
      <c r="E750" s="14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c r="AC750" s="73"/>
    </row>
    <row r="751">
      <c r="A751" s="73"/>
      <c r="B751" s="142"/>
      <c r="C751" s="73"/>
      <c r="D751" s="73"/>
      <c r="E751" s="14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c r="AC751" s="73"/>
    </row>
    <row r="752">
      <c r="A752" s="73"/>
      <c r="B752" s="142"/>
      <c r="C752" s="73"/>
      <c r="D752" s="73"/>
      <c r="E752" s="14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c r="AC752" s="73"/>
    </row>
    <row r="753">
      <c r="A753" s="73"/>
      <c r="B753" s="142"/>
      <c r="C753" s="73"/>
      <c r="D753" s="73"/>
      <c r="E753" s="14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c r="AC753" s="73"/>
    </row>
    <row r="754">
      <c r="A754" s="73"/>
      <c r="B754" s="142"/>
      <c r="C754" s="73"/>
      <c r="D754" s="73"/>
      <c r="E754" s="14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c r="AC754" s="73"/>
    </row>
    <row r="755">
      <c r="A755" s="73"/>
      <c r="B755" s="142"/>
      <c r="C755" s="73"/>
      <c r="D755" s="73"/>
      <c r="E755" s="14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c r="AC755" s="73"/>
    </row>
    <row r="756">
      <c r="A756" s="73"/>
      <c r="B756" s="142"/>
      <c r="C756" s="73"/>
      <c r="D756" s="73"/>
      <c r="E756" s="14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c r="AC756" s="73"/>
    </row>
    <row r="757">
      <c r="A757" s="73"/>
      <c r="B757" s="142"/>
      <c r="C757" s="73"/>
      <c r="D757" s="73"/>
      <c r="E757" s="14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c r="AC757" s="73"/>
    </row>
    <row r="758">
      <c r="A758" s="73"/>
      <c r="B758" s="142"/>
      <c r="C758" s="73"/>
      <c r="D758" s="73"/>
      <c r="E758" s="14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c r="AC758" s="73"/>
    </row>
    <row r="759">
      <c r="A759" s="73"/>
      <c r="B759" s="142"/>
      <c r="C759" s="73"/>
      <c r="D759" s="73"/>
      <c r="E759" s="14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c r="AC759" s="73"/>
    </row>
    <row r="760">
      <c r="A760" s="73"/>
      <c r="B760" s="142"/>
      <c r="C760" s="73"/>
      <c r="D760" s="73"/>
      <c r="E760" s="14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c r="AC760" s="73"/>
    </row>
    <row r="761">
      <c r="A761" s="73"/>
      <c r="B761" s="142"/>
      <c r="C761" s="73"/>
      <c r="D761" s="73"/>
      <c r="E761" s="14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c r="AC761" s="73"/>
    </row>
    <row r="762">
      <c r="A762" s="73"/>
      <c r="B762" s="142"/>
      <c r="C762" s="73"/>
      <c r="D762" s="73"/>
      <c r="E762" s="14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c r="AC762" s="73"/>
    </row>
    <row r="763">
      <c r="A763" s="73"/>
      <c r="B763" s="142"/>
      <c r="C763" s="73"/>
      <c r="D763" s="73"/>
      <c r="E763" s="14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c r="AC763" s="73"/>
    </row>
    <row r="764">
      <c r="A764" s="73"/>
      <c r="B764" s="142"/>
      <c r="C764" s="73"/>
      <c r="D764" s="73"/>
      <c r="E764" s="14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c r="AC764" s="73"/>
    </row>
    <row r="765">
      <c r="A765" s="73"/>
      <c r="B765" s="142"/>
      <c r="C765" s="73"/>
      <c r="D765" s="73"/>
      <c r="E765" s="14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c r="AC765" s="73"/>
    </row>
    <row r="766">
      <c r="A766" s="73"/>
      <c r="B766" s="142"/>
      <c r="C766" s="73"/>
      <c r="D766" s="73"/>
      <c r="E766" s="14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c r="AC766" s="73"/>
    </row>
    <row r="767">
      <c r="A767" s="73"/>
      <c r="B767" s="142"/>
      <c r="C767" s="73"/>
      <c r="D767" s="73"/>
      <c r="E767" s="14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c r="AC767" s="73"/>
    </row>
    <row r="768">
      <c r="A768" s="73"/>
      <c r="B768" s="142"/>
      <c r="C768" s="73"/>
      <c r="D768" s="73"/>
      <c r="E768" s="14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c r="AC768" s="73"/>
    </row>
    <row r="769">
      <c r="A769" s="73"/>
      <c r="B769" s="142"/>
      <c r="C769" s="73"/>
      <c r="D769" s="73"/>
      <c r="E769" s="14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c r="AC769" s="73"/>
    </row>
    <row r="770">
      <c r="A770" s="73"/>
      <c r="B770" s="142"/>
      <c r="C770" s="73"/>
      <c r="D770" s="73"/>
      <c r="E770" s="14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c r="AC770" s="73"/>
    </row>
    <row r="771">
      <c r="A771" s="73"/>
      <c r="B771" s="142"/>
      <c r="C771" s="73"/>
      <c r="D771" s="73"/>
      <c r="E771" s="14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c r="AC771" s="73"/>
    </row>
    <row r="772">
      <c r="A772" s="73"/>
      <c r="B772" s="142"/>
      <c r="C772" s="73"/>
      <c r="D772" s="73"/>
      <c r="E772" s="14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c r="AC772" s="73"/>
    </row>
    <row r="773">
      <c r="A773" s="73"/>
      <c r="B773" s="142"/>
      <c r="C773" s="73"/>
      <c r="D773" s="73"/>
      <c r="E773" s="14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c r="AC773" s="73"/>
    </row>
    <row r="774">
      <c r="A774" s="73"/>
      <c r="B774" s="142"/>
      <c r="C774" s="73"/>
      <c r="D774" s="73"/>
      <c r="E774" s="14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c r="AC774" s="73"/>
    </row>
    <row r="775">
      <c r="A775" s="73"/>
      <c r="B775" s="142"/>
      <c r="C775" s="73"/>
      <c r="D775" s="73"/>
      <c r="E775" s="14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c r="AC775" s="73"/>
    </row>
    <row r="776">
      <c r="A776" s="73"/>
      <c r="B776" s="142"/>
      <c r="C776" s="73"/>
      <c r="D776" s="73"/>
      <c r="E776" s="14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c r="AC776" s="73"/>
    </row>
    <row r="777">
      <c r="A777" s="73"/>
      <c r="B777" s="142"/>
      <c r="C777" s="73"/>
      <c r="D777" s="73"/>
      <c r="E777" s="14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c r="AC777" s="73"/>
    </row>
    <row r="778">
      <c r="A778" s="73"/>
      <c r="B778" s="142"/>
      <c r="C778" s="73"/>
      <c r="D778" s="73"/>
      <c r="E778" s="14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c r="AC778" s="73"/>
    </row>
    <row r="779">
      <c r="A779" s="73"/>
      <c r="B779" s="142"/>
      <c r="C779" s="73"/>
      <c r="D779" s="73"/>
      <c r="E779" s="14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c r="AC779" s="73"/>
    </row>
    <row r="780">
      <c r="A780" s="73"/>
      <c r="B780" s="142"/>
      <c r="C780" s="73"/>
      <c r="D780" s="73"/>
      <c r="E780" s="14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c r="AC780" s="73"/>
    </row>
    <row r="781">
      <c r="A781" s="73"/>
      <c r="B781" s="142"/>
      <c r="C781" s="73"/>
      <c r="D781" s="73"/>
      <c r="E781" s="14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c r="AC781" s="73"/>
    </row>
    <row r="782">
      <c r="A782" s="73"/>
      <c r="B782" s="142"/>
      <c r="C782" s="73"/>
      <c r="D782" s="73"/>
      <c r="E782" s="14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c r="AC782" s="73"/>
    </row>
    <row r="783">
      <c r="A783" s="73"/>
      <c r="B783" s="142"/>
      <c r="C783" s="73"/>
      <c r="D783" s="73"/>
      <c r="E783" s="14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c r="AC783" s="73"/>
    </row>
    <row r="784">
      <c r="A784" s="73"/>
      <c r="B784" s="142"/>
      <c r="C784" s="73"/>
      <c r="D784" s="73"/>
      <c r="E784" s="14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c r="AC784" s="73"/>
    </row>
    <row r="785">
      <c r="A785" s="73"/>
      <c r="B785" s="142"/>
      <c r="C785" s="73"/>
      <c r="D785" s="73"/>
      <c r="E785" s="14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c r="AC785" s="73"/>
    </row>
    <row r="786">
      <c r="A786" s="73"/>
      <c r="B786" s="142"/>
      <c r="C786" s="73"/>
      <c r="D786" s="73"/>
      <c r="E786" s="14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c r="AC786" s="73"/>
    </row>
    <row r="787">
      <c r="A787" s="73"/>
      <c r="B787" s="142"/>
      <c r="C787" s="73"/>
      <c r="D787" s="73"/>
      <c r="E787" s="14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c r="AC787" s="73"/>
    </row>
    <row r="788">
      <c r="A788" s="73"/>
      <c r="B788" s="142"/>
      <c r="C788" s="73"/>
      <c r="D788" s="73"/>
      <c r="E788" s="14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c r="AC788" s="73"/>
    </row>
    <row r="789">
      <c r="A789" s="73"/>
      <c r="B789" s="142"/>
      <c r="C789" s="73"/>
      <c r="D789" s="73"/>
      <c r="E789" s="14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c r="AC789" s="73"/>
    </row>
    <row r="790">
      <c r="A790" s="73"/>
      <c r="B790" s="142"/>
      <c r="C790" s="73"/>
      <c r="D790" s="73"/>
      <c r="E790" s="14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c r="AC790" s="73"/>
    </row>
    <row r="791">
      <c r="A791" s="73"/>
      <c r="B791" s="142"/>
      <c r="C791" s="73"/>
      <c r="D791" s="73"/>
      <c r="E791" s="14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c r="AC791" s="73"/>
    </row>
    <row r="792">
      <c r="A792" s="73"/>
      <c r="B792" s="142"/>
      <c r="C792" s="73"/>
      <c r="D792" s="73"/>
      <c r="E792" s="14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c r="AC792" s="73"/>
    </row>
    <row r="793">
      <c r="A793" s="73"/>
      <c r="B793" s="142"/>
      <c r="C793" s="73"/>
      <c r="D793" s="73"/>
      <c r="E793" s="14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c r="AC793" s="73"/>
    </row>
    <row r="794">
      <c r="A794" s="73"/>
      <c r="B794" s="142"/>
      <c r="C794" s="73"/>
      <c r="D794" s="73"/>
      <c r="E794" s="14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c r="AC794" s="73"/>
    </row>
    <row r="795">
      <c r="A795" s="73"/>
      <c r="B795" s="142"/>
      <c r="C795" s="73"/>
      <c r="D795" s="73"/>
      <c r="E795" s="14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c r="AC795" s="73"/>
    </row>
    <row r="796">
      <c r="A796" s="73"/>
      <c r="B796" s="142"/>
      <c r="C796" s="73"/>
      <c r="D796" s="73"/>
      <c r="E796" s="14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c r="AC796" s="73"/>
    </row>
    <row r="797">
      <c r="A797" s="73"/>
      <c r="B797" s="142"/>
      <c r="C797" s="73"/>
      <c r="D797" s="73"/>
      <c r="E797" s="14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c r="AC797" s="73"/>
    </row>
    <row r="798">
      <c r="A798" s="73"/>
      <c r="B798" s="142"/>
      <c r="C798" s="73"/>
      <c r="D798" s="73"/>
      <c r="E798" s="14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c r="AC798" s="73"/>
    </row>
    <row r="799">
      <c r="A799" s="73"/>
      <c r="B799" s="142"/>
      <c r="C799" s="73"/>
      <c r="D799" s="73"/>
      <c r="E799" s="14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c r="AC799" s="73"/>
    </row>
    <row r="800">
      <c r="A800" s="73"/>
      <c r="B800" s="142"/>
      <c r="C800" s="73"/>
      <c r="D800" s="73"/>
      <c r="E800" s="14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c r="AC800" s="73"/>
    </row>
    <row r="801">
      <c r="A801" s="73"/>
      <c r="B801" s="142"/>
      <c r="C801" s="73"/>
      <c r="D801" s="73"/>
      <c r="E801" s="14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c r="AC801" s="73"/>
    </row>
    <row r="802">
      <c r="A802" s="73"/>
      <c r="B802" s="142"/>
      <c r="C802" s="73"/>
      <c r="D802" s="73"/>
      <c r="E802" s="14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c r="AC802" s="73"/>
    </row>
    <row r="803">
      <c r="A803" s="73"/>
      <c r="B803" s="142"/>
      <c r="C803" s="73"/>
      <c r="D803" s="73"/>
      <c r="E803" s="14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c r="AC803" s="73"/>
    </row>
    <row r="804">
      <c r="A804" s="73"/>
      <c r="B804" s="142"/>
      <c r="C804" s="73"/>
      <c r="D804" s="73"/>
      <c r="E804" s="14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c r="AC804" s="73"/>
    </row>
    <row r="805">
      <c r="A805" s="73"/>
      <c r="B805" s="142"/>
      <c r="C805" s="73"/>
      <c r="D805" s="73"/>
      <c r="E805" s="14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c r="AC805" s="73"/>
    </row>
    <row r="806">
      <c r="A806" s="73"/>
      <c r="B806" s="142"/>
      <c r="C806" s="73"/>
      <c r="D806" s="73"/>
      <c r="E806" s="14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c r="AC806" s="73"/>
    </row>
    <row r="807">
      <c r="A807" s="73"/>
      <c r="B807" s="142"/>
      <c r="C807" s="73"/>
      <c r="D807" s="73"/>
      <c r="E807" s="14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c r="AC807" s="73"/>
    </row>
    <row r="808">
      <c r="A808" s="73"/>
      <c r="B808" s="142"/>
      <c r="C808" s="73"/>
      <c r="D808" s="73"/>
      <c r="E808" s="14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c r="AC808" s="73"/>
    </row>
    <row r="809">
      <c r="A809" s="73"/>
      <c r="B809" s="142"/>
      <c r="C809" s="73"/>
      <c r="D809" s="73"/>
      <c r="E809" s="14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c r="AC809" s="73"/>
    </row>
    <row r="810">
      <c r="A810" s="73"/>
      <c r="B810" s="142"/>
      <c r="C810" s="73"/>
      <c r="D810" s="73"/>
      <c r="E810" s="14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c r="AC810" s="73"/>
    </row>
    <row r="811">
      <c r="A811" s="73"/>
      <c r="B811" s="142"/>
      <c r="C811" s="73"/>
      <c r="D811" s="73"/>
      <c r="E811" s="14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c r="AC811" s="73"/>
    </row>
    <row r="812">
      <c r="A812" s="73"/>
      <c r="B812" s="142"/>
      <c r="C812" s="73"/>
      <c r="D812" s="73"/>
      <c r="E812" s="14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c r="AC812" s="73"/>
    </row>
    <row r="813">
      <c r="A813" s="73"/>
      <c r="B813" s="142"/>
      <c r="C813" s="73"/>
      <c r="D813" s="73"/>
      <c r="E813" s="14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c r="AC813" s="73"/>
    </row>
    <row r="814">
      <c r="A814" s="73"/>
      <c r="B814" s="142"/>
      <c r="C814" s="73"/>
      <c r="D814" s="73"/>
      <c r="E814" s="14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c r="AC814" s="73"/>
    </row>
    <row r="815">
      <c r="A815" s="73"/>
      <c r="B815" s="142"/>
      <c r="C815" s="73"/>
      <c r="D815" s="73"/>
      <c r="E815" s="14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c r="AC815" s="73"/>
    </row>
    <row r="816">
      <c r="A816" s="73"/>
      <c r="B816" s="142"/>
      <c r="C816" s="73"/>
      <c r="D816" s="73"/>
      <c r="E816" s="14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c r="AC816" s="73"/>
    </row>
    <row r="817">
      <c r="A817" s="73"/>
      <c r="B817" s="142"/>
      <c r="C817" s="73"/>
      <c r="D817" s="73"/>
      <c r="E817" s="14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c r="AC817" s="73"/>
    </row>
    <row r="818">
      <c r="A818" s="73"/>
      <c r="B818" s="142"/>
      <c r="C818" s="73"/>
      <c r="D818" s="73"/>
      <c r="E818" s="14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c r="AC818" s="73"/>
    </row>
    <row r="819">
      <c r="A819" s="73"/>
      <c r="B819" s="142"/>
      <c r="C819" s="73"/>
      <c r="D819" s="73"/>
      <c r="E819" s="14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c r="AC819" s="73"/>
    </row>
    <row r="820">
      <c r="A820" s="73"/>
      <c r="B820" s="142"/>
      <c r="C820" s="73"/>
      <c r="D820" s="73"/>
      <c r="E820" s="14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c r="AC820" s="73"/>
    </row>
    <row r="821">
      <c r="A821" s="73"/>
      <c r="B821" s="142"/>
      <c r="C821" s="73"/>
      <c r="D821" s="73"/>
      <c r="E821" s="14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c r="AC821" s="73"/>
    </row>
    <row r="822">
      <c r="A822" s="73"/>
      <c r="B822" s="142"/>
      <c r="C822" s="73"/>
      <c r="D822" s="73"/>
      <c r="E822" s="14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c r="AC822" s="73"/>
    </row>
    <row r="823">
      <c r="A823" s="73"/>
      <c r="B823" s="142"/>
      <c r="C823" s="73"/>
      <c r="D823" s="73"/>
      <c r="E823" s="14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c r="AC823" s="73"/>
    </row>
    <row r="824">
      <c r="A824" s="73"/>
      <c r="B824" s="142"/>
      <c r="C824" s="73"/>
      <c r="D824" s="73"/>
      <c r="E824" s="14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c r="AC824" s="73"/>
    </row>
    <row r="825">
      <c r="A825" s="73"/>
      <c r="B825" s="142"/>
      <c r="C825" s="73"/>
      <c r="D825" s="73"/>
      <c r="E825" s="14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c r="AC825" s="73"/>
    </row>
    <row r="826">
      <c r="A826" s="73"/>
      <c r="B826" s="142"/>
      <c r="C826" s="73"/>
      <c r="D826" s="73"/>
      <c r="E826" s="14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c r="AC826" s="73"/>
    </row>
    <row r="827">
      <c r="A827" s="73"/>
      <c r="B827" s="142"/>
      <c r="C827" s="73"/>
      <c r="D827" s="73"/>
      <c r="E827" s="14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c r="AC827" s="73"/>
    </row>
    <row r="828">
      <c r="A828" s="73"/>
      <c r="B828" s="142"/>
      <c r="C828" s="73"/>
      <c r="D828" s="73"/>
      <c r="E828" s="14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c r="AC828" s="73"/>
    </row>
    <row r="829">
      <c r="A829" s="73"/>
      <c r="B829" s="142"/>
      <c r="C829" s="73"/>
      <c r="D829" s="73"/>
      <c r="E829" s="14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c r="AC829" s="73"/>
    </row>
    <row r="830">
      <c r="A830" s="73"/>
      <c r="B830" s="142"/>
      <c r="C830" s="73"/>
      <c r="D830" s="73"/>
      <c r="E830" s="14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c r="AC830" s="73"/>
    </row>
    <row r="831">
      <c r="A831" s="73"/>
      <c r="B831" s="142"/>
      <c r="C831" s="73"/>
      <c r="D831" s="73"/>
      <c r="E831" s="14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c r="AC831" s="73"/>
    </row>
    <row r="832">
      <c r="A832" s="73"/>
      <c r="B832" s="142"/>
      <c r="C832" s="73"/>
      <c r="D832" s="73"/>
      <c r="E832" s="14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c r="AC832" s="73"/>
    </row>
    <row r="833">
      <c r="A833" s="73"/>
      <c r="B833" s="142"/>
      <c r="C833" s="73"/>
      <c r="D833" s="73"/>
      <c r="E833" s="14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c r="AC833" s="73"/>
    </row>
    <row r="834">
      <c r="A834" s="73"/>
      <c r="B834" s="142"/>
      <c r="C834" s="73"/>
      <c r="D834" s="73"/>
      <c r="E834" s="14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c r="AC834" s="73"/>
    </row>
    <row r="835">
      <c r="A835" s="73"/>
      <c r="B835" s="142"/>
      <c r="C835" s="73"/>
      <c r="D835" s="73"/>
      <c r="E835" s="14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c r="AC835" s="73"/>
    </row>
    <row r="836">
      <c r="A836" s="73"/>
      <c r="B836" s="142"/>
      <c r="C836" s="73"/>
      <c r="D836" s="73"/>
      <c r="E836" s="14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c r="AC836" s="73"/>
    </row>
    <row r="837">
      <c r="A837" s="73"/>
      <c r="B837" s="142"/>
      <c r="C837" s="73"/>
      <c r="D837" s="73"/>
      <c r="E837" s="14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c r="AC837" s="73"/>
    </row>
    <row r="838">
      <c r="A838" s="73"/>
      <c r="B838" s="142"/>
      <c r="C838" s="73"/>
      <c r="D838" s="73"/>
      <c r="E838" s="14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c r="AC838" s="73"/>
    </row>
    <row r="839">
      <c r="A839" s="73"/>
      <c r="B839" s="142"/>
      <c r="C839" s="73"/>
      <c r="D839" s="73"/>
      <c r="E839" s="14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c r="AC839" s="73"/>
    </row>
    <row r="840">
      <c r="A840" s="73"/>
      <c r="B840" s="142"/>
      <c r="C840" s="73"/>
      <c r="D840" s="73"/>
      <c r="E840" s="14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c r="AC840" s="73"/>
    </row>
    <row r="841">
      <c r="A841" s="73"/>
      <c r="B841" s="142"/>
      <c r="C841" s="73"/>
      <c r="D841" s="73"/>
      <c r="E841" s="14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c r="AC841" s="73"/>
    </row>
    <row r="842">
      <c r="A842" s="73"/>
      <c r="B842" s="142"/>
      <c r="C842" s="73"/>
      <c r="D842" s="73"/>
      <c r="E842" s="14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c r="AC842" s="73"/>
    </row>
    <row r="843">
      <c r="A843" s="73"/>
      <c r="B843" s="142"/>
      <c r="C843" s="73"/>
      <c r="D843" s="73"/>
      <c r="E843" s="14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c r="AC843" s="73"/>
    </row>
    <row r="844">
      <c r="A844" s="73"/>
      <c r="B844" s="142"/>
      <c r="C844" s="73"/>
      <c r="D844" s="73"/>
      <c r="E844" s="14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c r="AC844" s="73"/>
    </row>
    <row r="845">
      <c r="A845" s="73"/>
      <c r="B845" s="142"/>
      <c r="C845" s="73"/>
      <c r="D845" s="73"/>
      <c r="E845" s="14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c r="AC845" s="73"/>
    </row>
    <row r="846">
      <c r="A846" s="73"/>
      <c r="B846" s="142"/>
      <c r="C846" s="73"/>
      <c r="D846" s="73"/>
      <c r="E846" s="14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c r="AC846" s="73"/>
    </row>
    <row r="847">
      <c r="A847" s="73"/>
      <c r="B847" s="142"/>
      <c r="C847" s="73"/>
      <c r="D847" s="73"/>
      <c r="E847" s="14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c r="AC847" s="73"/>
    </row>
    <row r="848">
      <c r="A848" s="73"/>
      <c r="B848" s="142"/>
      <c r="C848" s="73"/>
      <c r="D848" s="73"/>
      <c r="E848" s="14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c r="AC848" s="73"/>
    </row>
    <row r="849">
      <c r="A849" s="73"/>
      <c r="B849" s="142"/>
      <c r="C849" s="73"/>
      <c r="D849" s="73"/>
      <c r="E849" s="14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c r="AC849" s="73"/>
    </row>
    <row r="850">
      <c r="A850" s="73"/>
      <c r="B850" s="142"/>
      <c r="C850" s="73"/>
      <c r="D850" s="73"/>
      <c r="E850" s="14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c r="AC850" s="73"/>
    </row>
    <row r="851">
      <c r="A851" s="73"/>
      <c r="B851" s="142"/>
      <c r="C851" s="73"/>
      <c r="D851" s="73"/>
      <c r="E851" s="14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c r="AC851" s="73"/>
    </row>
    <row r="852">
      <c r="A852" s="73"/>
      <c r="B852" s="142"/>
      <c r="C852" s="73"/>
      <c r="D852" s="73"/>
      <c r="E852" s="14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c r="AC852" s="73"/>
    </row>
    <row r="853">
      <c r="A853" s="73"/>
      <c r="B853" s="142"/>
      <c r="C853" s="73"/>
      <c r="D853" s="73"/>
      <c r="E853" s="14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c r="AC853" s="73"/>
    </row>
    <row r="854">
      <c r="A854" s="73"/>
      <c r="B854" s="142"/>
      <c r="C854" s="73"/>
      <c r="D854" s="73"/>
      <c r="E854" s="14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c r="AC854" s="73"/>
    </row>
    <row r="855">
      <c r="A855" s="73"/>
      <c r="B855" s="142"/>
      <c r="C855" s="73"/>
      <c r="D855" s="73"/>
      <c r="E855" s="14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c r="AC855" s="73"/>
    </row>
    <row r="856">
      <c r="A856" s="73"/>
      <c r="B856" s="142"/>
      <c r="C856" s="73"/>
      <c r="D856" s="73"/>
      <c r="E856" s="14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c r="AC856" s="73"/>
    </row>
    <row r="857">
      <c r="A857" s="73"/>
      <c r="B857" s="142"/>
      <c r="C857" s="73"/>
      <c r="D857" s="73"/>
      <c r="E857" s="14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c r="AC857" s="73"/>
    </row>
    <row r="858">
      <c r="A858" s="73"/>
      <c r="B858" s="142"/>
      <c r="C858" s="73"/>
      <c r="D858" s="73"/>
      <c r="E858" s="14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c r="AC858" s="73"/>
    </row>
    <row r="859">
      <c r="A859" s="73"/>
      <c r="B859" s="142"/>
      <c r="C859" s="73"/>
      <c r="D859" s="73"/>
      <c r="E859" s="14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c r="AC859" s="73"/>
    </row>
    <row r="860">
      <c r="A860" s="73"/>
      <c r="B860" s="142"/>
      <c r="C860" s="73"/>
      <c r="D860" s="73"/>
      <c r="E860" s="14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c r="AC860" s="73"/>
    </row>
    <row r="861">
      <c r="A861" s="73"/>
      <c r="B861" s="142"/>
      <c r="C861" s="73"/>
      <c r="D861" s="73"/>
      <c r="E861" s="14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c r="AC861" s="73"/>
    </row>
    <row r="862">
      <c r="A862" s="73"/>
      <c r="B862" s="142"/>
      <c r="C862" s="73"/>
      <c r="D862" s="73"/>
      <c r="E862" s="14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c r="AC862" s="73"/>
    </row>
    <row r="863">
      <c r="A863" s="73"/>
      <c r="B863" s="142"/>
      <c r="C863" s="73"/>
      <c r="D863" s="73"/>
      <c r="E863" s="14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c r="AC863" s="73"/>
    </row>
    <row r="864">
      <c r="A864" s="73"/>
      <c r="B864" s="142"/>
      <c r="C864" s="73"/>
      <c r="D864" s="73"/>
      <c r="E864" s="14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c r="AC864" s="73"/>
    </row>
    <row r="865">
      <c r="A865" s="73"/>
      <c r="B865" s="142"/>
      <c r="C865" s="73"/>
      <c r="D865" s="73"/>
      <c r="E865" s="14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c r="AC865" s="73"/>
    </row>
    <row r="866">
      <c r="A866" s="73"/>
      <c r="B866" s="142"/>
      <c r="C866" s="73"/>
      <c r="D866" s="73"/>
      <c r="E866" s="14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c r="AC866" s="73"/>
    </row>
    <row r="867">
      <c r="A867" s="73"/>
      <c r="B867" s="142"/>
      <c r="C867" s="73"/>
      <c r="D867" s="73"/>
      <c r="E867" s="14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c r="AC867" s="73"/>
    </row>
    <row r="868">
      <c r="A868" s="73"/>
      <c r="B868" s="142"/>
      <c r="C868" s="73"/>
      <c r="D868" s="73"/>
      <c r="E868" s="14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c r="AC868" s="73"/>
    </row>
    <row r="869">
      <c r="A869" s="73"/>
      <c r="B869" s="142"/>
      <c r="C869" s="73"/>
      <c r="D869" s="73"/>
      <c r="E869" s="14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c r="AC869" s="73"/>
    </row>
    <row r="870">
      <c r="A870" s="73"/>
      <c r="B870" s="142"/>
      <c r="C870" s="73"/>
      <c r="D870" s="73"/>
      <c r="E870" s="14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c r="AC870" s="73"/>
    </row>
    <row r="871">
      <c r="A871" s="73"/>
      <c r="B871" s="142"/>
      <c r="C871" s="73"/>
      <c r="D871" s="73"/>
      <c r="E871" s="14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c r="AC871" s="73"/>
    </row>
    <row r="872">
      <c r="A872" s="73"/>
      <c r="B872" s="142"/>
      <c r="C872" s="73"/>
      <c r="D872" s="73"/>
      <c r="E872" s="14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c r="AC872" s="73"/>
    </row>
    <row r="873">
      <c r="A873" s="73"/>
      <c r="B873" s="142"/>
      <c r="C873" s="73"/>
      <c r="D873" s="73"/>
      <c r="E873" s="14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c r="AC873" s="73"/>
    </row>
    <row r="874">
      <c r="A874" s="73"/>
      <c r="B874" s="142"/>
      <c r="C874" s="73"/>
      <c r="D874" s="73"/>
      <c r="E874" s="14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c r="AC874" s="73"/>
    </row>
    <row r="875">
      <c r="A875" s="73"/>
      <c r="B875" s="142"/>
      <c r="C875" s="73"/>
      <c r="D875" s="73"/>
      <c r="E875" s="14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c r="AC875" s="73"/>
    </row>
    <row r="876">
      <c r="A876" s="73"/>
      <c r="B876" s="142"/>
      <c r="C876" s="73"/>
      <c r="D876" s="73"/>
      <c r="E876" s="14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c r="AC876" s="73"/>
    </row>
    <row r="877">
      <c r="A877" s="73"/>
      <c r="B877" s="142"/>
      <c r="C877" s="73"/>
      <c r="D877" s="73"/>
      <c r="E877" s="14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c r="AC877" s="73"/>
    </row>
    <row r="878">
      <c r="A878" s="73"/>
      <c r="B878" s="142"/>
      <c r="C878" s="73"/>
      <c r="D878" s="73"/>
      <c r="E878" s="14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c r="AC878" s="73"/>
    </row>
    <row r="879">
      <c r="A879" s="73"/>
      <c r="B879" s="142"/>
      <c r="C879" s="73"/>
      <c r="D879" s="73"/>
      <c r="E879" s="14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c r="AC879" s="73"/>
    </row>
    <row r="880">
      <c r="A880" s="73"/>
      <c r="B880" s="142"/>
      <c r="C880" s="73"/>
      <c r="D880" s="73"/>
      <c r="E880" s="14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c r="AC880" s="73"/>
    </row>
    <row r="881">
      <c r="A881" s="73"/>
      <c r="B881" s="142"/>
      <c r="C881" s="73"/>
      <c r="D881" s="73"/>
      <c r="E881" s="14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c r="AC881" s="73"/>
    </row>
    <row r="882">
      <c r="A882" s="73"/>
      <c r="B882" s="142"/>
      <c r="C882" s="73"/>
      <c r="D882" s="73"/>
      <c r="E882" s="14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c r="AC882" s="73"/>
    </row>
    <row r="883">
      <c r="A883" s="73"/>
      <c r="B883" s="142"/>
      <c r="C883" s="73"/>
      <c r="D883" s="73"/>
      <c r="E883" s="14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c r="AC883" s="73"/>
    </row>
    <row r="884">
      <c r="A884" s="73"/>
      <c r="B884" s="142"/>
      <c r="C884" s="73"/>
      <c r="D884" s="73"/>
      <c r="E884" s="14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c r="AC884" s="73"/>
    </row>
    <row r="885">
      <c r="A885" s="73"/>
      <c r="B885" s="142"/>
      <c r="C885" s="73"/>
      <c r="D885" s="73"/>
      <c r="E885" s="14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c r="AC885" s="73"/>
    </row>
    <row r="886">
      <c r="A886" s="73"/>
      <c r="B886" s="142"/>
      <c r="C886" s="73"/>
      <c r="D886" s="73"/>
      <c r="E886" s="14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c r="AC886" s="73"/>
    </row>
    <row r="887">
      <c r="A887" s="73"/>
      <c r="B887" s="142"/>
      <c r="C887" s="73"/>
      <c r="D887" s="73"/>
      <c r="E887" s="14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c r="AC887" s="73"/>
    </row>
    <row r="888">
      <c r="A888" s="73"/>
      <c r="B888" s="142"/>
      <c r="C888" s="73"/>
      <c r="D888" s="73"/>
      <c r="E888" s="14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c r="AC888" s="73"/>
    </row>
    <row r="889">
      <c r="A889" s="73"/>
      <c r="B889" s="142"/>
      <c r="C889" s="73"/>
      <c r="D889" s="73"/>
      <c r="E889" s="14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c r="AC889" s="73"/>
    </row>
    <row r="890">
      <c r="A890" s="73"/>
      <c r="B890" s="142"/>
      <c r="C890" s="73"/>
      <c r="D890" s="73"/>
      <c r="E890" s="14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c r="AC890" s="73"/>
    </row>
    <row r="891">
      <c r="A891" s="73"/>
      <c r="B891" s="142"/>
      <c r="C891" s="73"/>
      <c r="D891" s="73"/>
      <c r="E891" s="14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c r="AC891" s="73"/>
    </row>
    <row r="892">
      <c r="A892" s="73"/>
      <c r="B892" s="142"/>
      <c r="C892" s="73"/>
      <c r="D892" s="73"/>
      <c r="E892" s="14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c r="AC892" s="73"/>
    </row>
    <row r="893">
      <c r="A893" s="73"/>
      <c r="B893" s="142"/>
      <c r="C893" s="73"/>
      <c r="D893" s="73"/>
      <c r="E893" s="14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c r="AC893" s="73"/>
    </row>
    <row r="894">
      <c r="A894" s="73"/>
      <c r="B894" s="142"/>
      <c r="C894" s="73"/>
      <c r="D894" s="73"/>
      <c r="E894" s="14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c r="AC894" s="73"/>
    </row>
    <row r="895">
      <c r="A895" s="73"/>
      <c r="B895" s="142"/>
      <c r="C895" s="73"/>
      <c r="D895" s="73"/>
      <c r="E895" s="14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c r="AC895" s="73"/>
    </row>
    <row r="896">
      <c r="A896" s="73"/>
      <c r="B896" s="142"/>
      <c r="C896" s="73"/>
      <c r="D896" s="73"/>
      <c r="E896" s="14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c r="AC896" s="73"/>
    </row>
    <row r="897">
      <c r="A897" s="73"/>
      <c r="B897" s="142"/>
      <c r="C897" s="73"/>
      <c r="D897" s="73"/>
      <c r="E897" s="14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c r="AC897" s="73"/>
    </row>
    <row r="898">
      <c r="A898" s="73"/>
      <c r="B898" s="142"/>
      <c r="C898" s="73"/>
      <c r="D898" s="73"/>
      <c r="E898" s="14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c r="AC898" s="73"/>
    </row>
    <row r="899">
      <c r="A899" s="73"/>
      <c r="B899" s="142"/>
      <c r="C899" s="73"/>
      <c r="D899" s="73"/>
      <c r="E899" s="14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c r="AC899" s="73"/>
    </row>
    <row r="900">
      <c r="A900" s="73"/>
      <c r="B900" s="142"/>
      <c r="C900" s="73"/>
      <c r="D900" s="73"/>
      <c r="E900" s="14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c r="AC900" s="73"/>
    </row>
    <row r="901">
      <c r="A901" s="73"/>
      <c r="B901" s="142"/>
      <c r="C901" s="73"/>
      <c r="D901" s="73"/>
      <c r="E901" s="14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c r="AC901" s="73"/>
    </row>
    <row r="902">
      <c r="A902" s="73"/>
      <c r="B902" s="142"/>
      <c r="C902" s="73"/>
      <c r="D902" s="73"/>
      <c r="E902" s="14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c r="AC902" s="73"/>
    </row>
    <row r="903">
      <c r="A903" s="73"/>
      <c r="B903" s="142"/>
      <c r="C903" s="73"/>
      <c r="D903" s="73"/>
      <c r="E903" s="14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c r="AC903" s="73"/>
    </row>
    <row r="904">
      <c r="A904" s="73"/>
      <c r="B904" s="142"/>
      <c r="C904" s="73"/>
      <c r="D904" s="73"/>
      <c r="E904" s="14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c r="AC904" s="73"/>
    </row>
    <row r="905">
      <c r="A905" s="73"/>
      <c r="B905" s="142"/>
      <c r="C905" s="73"/>
      <c r="D905" s="73"/>
      <c r="E905" s="14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c r="AC905" s="73"/>
    </row>
    <row r="906">
      <c r="A906" s="73"/>
      <c r="B906" s="142"/>
      <c r="C906" s="73"/>
      <c r="D906" s="73"/>
      <c r="E906" s="14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c r="AC906" s="73"/>
    </row>
    <row r="907">
      <c r="A907" s="73"/>
      <c r="B907" s="142"/>
      <c r="C907" s="73"/>
      <c r="D907" s="73"/>
      <c r="E907" s="14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c r="AC907" s="73"/>
    </row>
    <row r="908">
      <c r="A908" s="73"/>
      <c r="B908" s="142"/>
      <c r="C908" s="73"/>
      <c r="D908" s="73"/>
      <c r="E908" s="14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c r="AC908" s="73"/>
    </row>
    <row r="909">
      <c r="A909" s="73"/>
      <c r="B909" s="142"/>
      <c r="C909" s="73"/>
      <c r="D909" s="73"/>
      <c r="E909" s="14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c r="AC909" s="73"/>
    </row>
    <row r="910">
      <c r="A910" s="73"/>
      <c r="B910" s="142"/>
      <c r="C910" s="73"/>
      <c r="D910" s="73"/>
      <c r="E910" s="14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c r="AC910" s="73"/>
    </row>
    <row r="911">
      <c r="A911" s="73"/>
      <c r="B911" s="142"/>
      <c r="C911" s="73"/>
      <c r="D911" s="73"/>
      <c r="E911" s="14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c r="AC911" s="73"/>
    </row>
    <row r="912">
      <c r="A912" s="73"/>
      <c r="B912" s="142"/>
      <c r="C912" s="73"/>
      <c r="D912" s="73"/>
      <c r="E912" s="14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c r="AC912" s="73"/>
    </row>
    <row r="913">
      <c r="A913" s="73"/>
      <c r="B913" s="142"/>
      <c r="C913" s="73"/>
      <c r="D913" s="73"/>
      <c r="E913" s="14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c r="AC913" s="73"/>
    </row>
    <row r="914">
      <c r="A914" s="73"/>
      <c r="B914" s="142"/>
      <c r="C914" s="73"/>
      <c r="D914" s="73"/>
      <c r="E914" s="14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c r="AC914" s="73"/>
    </row>
    <row r="915">
      <c r="A915" s="73"/>
      <c r="B915" s="142"/>
      <c r="C915" s="73"/>
      <c r="D915" s="73"/>
      <c r="E915" s="14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c r="AC915" s="73"/>
    </row>
    <row r="916">
      <c r="A916" s="73"/>
      <c r="B916" s="142"/>
      <c r="C916" s="73"/>
      <c r="D916" s="73"/>
      <c r="E916" s="14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c r="AC916" s="73"/>
    </row>
    <row r="917">
      <c r="A917" s="73"/>
      <c r="B917" s="142"/>
      <c r="C917" s="73"/>
      <c r="D917" s="73"/>
      <c r="E917" s="14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c r="AC917" s="73"/>
    </row>
    <row r="918">
      <c r="A918" s="73"/>
      <c r="B918" s="142"/>
      <c r="C918" s="73"/>
      <c r="D918" s="73"/>
      <c r="E918" s="14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c r="AC918" s="73"/>
    </row>
    <row r="919">
      <c r="A919" s="73"/>
      <c r="B919" s="142"/>
      <c r="C919" s="73"/>
      <c r="D919" s="73"/>
      <c r="E919" s="14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c r="AC919" s="73"/>
    </row>
    <row r="920">
      <c r="A920" s="73"/>
      <c r="B920" s="142"/>
      <c r="C920" s="73"/>
      <c r="D920" s="73"/>
      <c r="E920" s="14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c r="AC920" s="73"/>
    </row>
    <row r="921">
      <c r="A921" s="73"/>
      <c r="B921" s="142"/>
      <c r="C921" s="73"/>
      <c r="D921" s="73"/>
      <c r="E921" s="14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c r="AC921" s="73"/>
    </row>
    <row r="922">
      <c r="A922" s="73"/>
      <c r="B922" s="142"/>
      <c r="C922" s="73"/>
      <c r="D922" s="73"/>
      <c r="E922" s="14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c r="AC922" s="73"/>
    </row>
    <row r="923">
      <c r="A923" s="73"/>
      <c r="B923" s="142"/>
      <c r="C923" s="73"/>
      <c r="D923" s="73"/>
      <c r="E923" s="14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c r="AC923" s="73"/>
    </row>
    <row r="924">
      <c r="A924" s="73"/>
      <c r="B924" s="142"/>
      <c r="C924" s="73"/>
      <c r="D924" s="73"/>
      <c r="E924" s="14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c r="AC924" s="73"/>
    </row>
    <row r="925">
      <c r="A925" s="73"/>
      <c r="B925" s="142"/>
      <c r="C925" s="73"/>
      <c r="D925" s="73"/>
      <c r="E925" s="14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c r="AC925" s="73"/>
    </row>
    <row r="926">
      <c r="A926" s="73"/>
      <c r="B926" s="142"/>
      <c r="C926" s="73"/>
      <c r="D926" s="73"/>
      <c r="E926" s="14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c r="AC926" s="73"/>
    </row>
    <row r="927">
      <c r="A927" s="73"/>
      <c r="B927" s="142"/>
      <c r="C927" s="73"/>
      <c r="D927" s="73"/>
      <c r="E927" s="14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c r="AC927" s="73"/>
    </row>
    <row r="928">
      <c r="A928" s="73"/>
      <c r="B928" s="142"/>
      <c r="C928" s="73"/>
      <c r="D928" s="73"/>
      <c r="E928" s="14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c r="AC928" s="73"/>
    </row>
    <row r="929">
      <c r="A929" s="73"/>
      <c r="B929" s="142"/>
      <c r="C929" s="73"/>
      <c r="D929" s="73"/>
      <c r="E929" s="14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c r="AC929" s="73"/>
    </row>
    <row r="930">
      <c r="A930" s="73"/>
      <c r="B930" s="142"/>
      <c r="C930" s="73"/>
      <c r="D930" s="73"/>
      <c r="E930" s="14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c r="AC930" s="73"/>
    </row>
    <row r="931">
      <c r="A931" s="73"/>
      <c r="B931" s="142"/>
      <c r="C931" s="73"/>
      <c r="D931" s="73"/>
      <c r="E931" s="14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c r="AC931" s="73"/>
    </row>
    <row r="932">
      <c r="A932" s="73"/>
      <c r="B932" s="142"/>
      <c r="C932" s="73"/>
      <c r="D932" s="73"/>
      <c r="E932" s="14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c r="AC932" s="73"/>
    </row>
    <row r="933">
      <c r="A933" s="73"/>
      <c r="B933" s="142"/>
      <c r="C933" s="73"/>
      <c r="D933" s="73"/>
      <c r="E933" s="14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c r="AC933" s="73"/>
    </row>
    <row r="934">
      <c r="A934" s="73"/>
      <c r="B934" s="142"/>
      <c r="C934" s="73"/>
      <c r="D934" s="73"/>
      <c r="E934" s="14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c r="AC934" s="73"/>
    </row>
    <row r="935">
      <c r="A935" s="73"/>
      <c r="B935" s="142"/>
      <c r="C935" s="73"/>
      <c r="D935" s="73"/>
      <c r="E935" s="14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c r="AC935" s="73"/>
    </row>
    <row r="936">
      <c r="A936" s="73"/>
      <c r="B936" s="142"/>
      <c r="C936" s="73"/>
      <c r="D936" s="73"/>
      <c r="E936" s="14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c r="AC936" s="73"/>
    </row>
    <row r="937">
      <c r="A937" s="73"/>
      <c r="B937" s="142"/>
      <c r="C937" s="73"/>
      <c r="D937" s="73"/>
      <c r="E937" s="14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c r="AC937" s="73"/>
    </row>
    <row r="938">
      <c r="A938" s="73"/>
      <c r="B938" s="142"/>
      <c r="C938" s="73"/>
      <c r="D938" s="73"/>
      <c r="E938" s="14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c r="AC938" s="73"/>
    </row>
    <row r="939">
      <c r="A939" s="73"/>
      <c r="B939" s="142"/>
      <c r="C939" s="73"/>
      <c r="D939" s="73"/>
      <c r="E939" s="14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c r="AC939" s="73"/>
    </row>
    <row r="940">
      <c r="A940" s="73"/>
      <c r="B940" s="142"/>
      <c r="C940" s="73"/>
      <c r="D940" s="73"/>
      <c r="E940" s="14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c r="AC940" s="73"/>
    </row>
    <row r="941">
      <c r="A941" s="73"/>
      <c r="B941" s="142"/>
      <c r="C941" s="73"/>
      <c r="D941" s="73"/>
      <c r="E941" s="14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row>
    <row r="942">
      <c r="A942" s="73"/>
      <c r="B942" s="142"/>
      <c r="C942" s="73"/>
      <c r="D942" s="73"/>
      <c r="E942" s="14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row>
    <row r="943">
      <c r="A943" s="73"/>
      <c r="B943" s="142"/>
      <c r="C943" s="73"/>
      <c r="D943" s="73"/>
      <c r="E943" s="14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row>
    <row r="944">
      <c r="A944" s="73"/>
      <c r="B944" s="142"/>
      <c r="C944" s="73"/>
      <c r="D944" s="73"/>
      <c r="E944" s="14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row>
    <row r="945">
      <c r="A945" s="73"/>
      <c r="B945" s="142"/>
      <c r="C945" s="73"/>
      <c r="D945" s="73"/>
      <c r="E945" s="14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row>
    <row r="946">
      <c r="A946" s="73"/>
      <c r="B946" s="142"/>
      <c r="C946" s="73"/>
      <c r="D946" s="73"/>
      <c r="E946" s="14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row>
    <row r="947">
      <c r="A947" s="73"/>
      <c r="B947" s="142"/>
      <c r="C947" s="73"/>
      <c r="D947" s="73"/>
      <c r="E947" s="14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row>
    <row r="948">
      <c r="A948" s="73"/>
      <c r="B948" s="142"/>
      <c r="C948" s="73"/>
      <c r="D948" s="73"/>
      <c r="E948" s="14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row>
    <row r="949">
      <c r="A949" s="73"/>
      <c r="B949" s="142"/>
      <c r="C949" s="73"/>
      <c r="D949" s="73"/>
      <c r="E949" s="14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row>
    <row r="950">
      <c r="A950" s="73"/>
      <c r="B950" s="142"/>
      <c r="C950" s="73"/>
      <c r="D950" s="73"/>
      <c r="E950" s="14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row>
    <row r="951">
      <c r="A951" s="73"/>
      <c r="B951" s="142"/>
      <c r="C951" s="73"/>
      <c r="D951" s="73"/>
      <c r="E951" s="14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row>
    <row r="952">
      <c r="A952" s="73"/>
      <c r="B952" s="142"/>
      <c r="C952" s="73"/>
      <c r="D952" s="73"/>
      <c r="E952" s="14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row>
    <row r="953">
      <c r="A953" s="73"/>
      <c r="B953" s="142"/>
      <c r="C953" s="73"/>
      <c r="D953" s="73"/>
      <c r="E953" s="14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row>
    <row r="954">
      <c r="A954" s="73"/>
      <c r="B954" s="142"/>
      <c r="C954" s="73"/>
      <c r="D954" s="73"/>
      <c r="E954" s="14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row>
    <row r="955">
      <c r="A955" s="73"/>
      <c r="B955" s="142"/>
      <c r="C955" s="73"/>
      <c r="D955" s="73"/>
      <c r="E955" s="14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row>
    <row r="956">
      <c r="A956" s="73"/>
      <c r="B956" s="142"/>
      <c r="C956" s="73"/>
      <c r="D956" s="73"/>
      <c r="E956" s="14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row>
    <row r="957">
      <c r="A957" s="73"/>
      <c r="B957" s="142"/>
      <c r="C957" s="73"/>
      <c r="D957" s="73"/>
      <c r="E957" s="14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row>
    <row r="958">
      <c r="A958" s="73"/>
      <c r="B958" s="142"/>
      <c r="C958" s="73"/>
      <c r="D958" s="73"/>
      <c r="E958" s="14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row>
    <row r="959">
      <c r="A959" s="73"/>
      <c r="B959" s="142"/>
      <c r="C959" s="73"/>
      <c r="D959" s="73"/>
      <c r="E959" s="14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row>
    <row r="960">
      <c r="A960" s="73"/>
      <c r="B960" s="142"/>
      <c r="C960" s="73"/>
      <c r="D960" s="73"/>
      <c r="E960" s="14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row>
    <row r="961">
      <c r="A961" s="73"/>
      <c r="B961" s="142"/>
      <c r="C961" s="73"/>
      <c r="D961" s="73"/>
      <c r="E961" s="14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row>
    <row r="962">
      <c r="A962" s="73"/>
      <c r="B962" s="142"/>
      <c r="C962" s="73"/>
      <c r="D962" s="73"/>
      <c r="E962" s="14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row>
    <row r="963">
      <c r="A963" s="73"/>
      <c r="B963" s="142"/>
      <c r="C963" s="73"/>
      <c r="D963" s="73"/>
      <c r="E963" s="14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row>
    <row r="964">
      <c r="A964" s="73"/>
      <c r="B964" s="142"/>
      <c r="C964" s="73"/>
      <c r="D964" s="73"/>
      <c r="E964" s="14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row>
    <row r="965">
      <c r="A965" s="73"/>
      <c r="B965" s="142"/>
      <c r="C965" s="73"/>
      <c r="D965" s="73"/>
      <c r="E965" s="14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row>
    <row r="966">
      <c r="A966" s="73"/>
      <c r="B966" s="142"/>
      <c r="C966" s="73"/>
      <c r="D966" s="73"/>
      <c r="E966" s="14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row>
    <row r="967">
      <c r="A967" s="73"/>
      <c r="B967" s="142"/>
      <c r="C967" s="73"/>
      <c r="D967" s="73"/>
      <c r="E967" s="14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row>
    <row r="968">
      <c r="A968" s="73"/>
      <c r="B968" s="142"/>
      <c r="C968" s="73"/>
      <c r="D968" s="73"/>
      <c r="E968" s="14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row>
    <row r="969">
      <c r="A969" s="73"/>
      <c r="B969" s="142"/>
      <c r="C969" s="73"/>
      <c r="D969" s="73"/>
      <c r="E969" s="14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row>
    <row r="970">
      <c r="A970" s="73"/>
      <c r="B970" s="142"/>
      <c r="C970" s="73"/>
      <c r="D970" s="73"/>
      <c r="E970" s="14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row>
    <row r="971">
      <c r="A971" s="73"/>
      <c r="B971" s="142"/>
      <c r="C971" s="73"/>
      <c r="D971" s="73"/>
      <c r="E971" s="14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row>
    <row r="972">
      <c r="A972" s="73"/>
      <c r="B972" s="142"/>
      <c r="C972" s="73"/>
      <c r="D972" s="73"/>
      <c r="E972" s="14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row>
    <row r="973">
      <c r="A973" s="73"/>
      <c r="B973" s="142"/>
      <c r="C973" s="73"/>
      <c r="D973" s="73"/>
      <c r="E973" s="14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row>
    <row r="974">
      <c r="A974" s="73"/>
      <c r="B974" s="142"/>
      <c r="C974" s="73"/>
      <c r="D974" s="73"/>
      <c r="E974" s="14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row>
    <row r="975">
      <c r="A975" s="73"/>
      <c r="B975" s="142"/>
      <c r="C975" s="73"/>
      <c r="D975" s="73"/>
      <c r="E975" s="14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row>
    <row r="976">
      <c r="A976" s="73"/>
      <c r="B976" s="142"/>
      <c r="C976" s="73"/>
      <c r="D976" s="73"/>
      <c r="E976" s="14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row>
    <row r="977">
      <c r="A977" s="73"/>
      <c r="B977" s="142"/>
      <c r="C977" s="73"/>
      <c r="D977" s="73"/>
      <c r="E977" s="14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row>
    <row r="978">
      <c r="A978" s="73"/>
      <c r="B978" s="142"/>
      <c r="C978" s="73"/>
      <c r="D978" s="73"/>
      <c r="E978" s="14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row>
    <row r="979">
      <c r="A979" s="73"/>
      <c r="B979" s="142"/>
      <c r="C979" s="73"/>
      <c r="D979" s="73"/>
      <c r="E979" s="14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row>
    <row r="980">
      <c r="A980" s="73"/>
      <c r="B980" s="142"/>
      <c r="C980" s="73"/>
      <c r="D980" s="73"/>
      <c r="E980" s="14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row>
    <row r="981">
      <c r="A981" s="73"/>
      <c r="B981" s="142"/>
      <c r="C981" s="73"/>
      <c r="D981" s="73"/>
      <c r="E981" s="14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row>
    <row r="982">
      <c r="A982" s="73"/>
      <c r="B982" s="142"/>
      <c r="C982" s="73"/>
      <c r="D982" s="73"/>
      <c r="E982" s="14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row>
    <row r="983">
      <c r="A983" s="73"/>
      <c r="B983" s="142"/>
      <c r="C983" s="73"/>
      <c r="D983" s="73"/>
      <c r="E983" s="14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row>
    <row r="984">
      <c r="A984" s="73"/>
      <c r="B984" s="142"/>
      <c r="C984" s="73"/>
      <c r="D984" s="73"/>
      <c r="E984" s="14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row>
    <row r="985">
      <c r="A985" s="73"/>
      <c r="B985" s="142"/>
      <c r="C985" s="73"/>
      <c r="D985" s="73"/>
      <c r="E985" s="14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row>
    <row r="986">
      <c r="A986" s="73"/>
      <c r="B986" s="142"/>
      <c r="C986" s="73"/>
      <c r="D986" s="73"/>
      <c r="E986" s="14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row>
    <row r="987">
      <c r="A987" s="73"/>
      <c r="B987" s="142"/>
      <c r="C987" s="73"/>
      <c r="D987" s="73"/>
      <c r="E987" s="14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row>
    <row r="988">
      <c r="A988" s="73"/>
      <c r="B988" s="142"/>
      <c r="C988" s="73"/>
      <c r="D988" s="73"/>
      <c r="E988" s="14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row>
    <row r="989">
      <c r="A989" s="73"/>
      <c r="B989" s="142"/>
      <c r="C989" s="73"/>
      <c r="D989" s="73"/>
      <c r="E989" s="14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row>
    <row r="990">
      <c r="A990" s="73"/>
      <c r="B990" s="142"/>
      <c r="C990" s="73"/>
      <c r="D990" s="73"/>
      <c r="E990" s="14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row>
    <row r="991">
      <c r="A991" s="73"/>
      <c r="B991" s="142"/>
      <c r="C991" s="73"/>
      <c r="D991" s="73"/>
      <c r="E991" s="14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row>
    <row r="992">
      <c r="A992" s="73"/>
      <c r="B992" s="142"/>
      <c r="C992" s="73"/>
      <c r="D992" s="73"/>
      <c r="E992" s="14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row>
    <row r="993">
      <c r="A993" s="73"/>
      <c r="B993" s="142"/>
      <c r="C993" s="73"/>
      <c r="D993" s="73"/>
      <c r="E993" s="14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row>
    <row r="994">
      <c r="A994" s="73"/>
      <c r="B994" s="142"/>
      <c r="C994" s="73"/>
      <c r="D994" s="73"/>
      <c r="E994" s="14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row>
    <row r="995">
      <c r="A995" s="73"/>
      <c r="B995" s="142"/>
      <c r="C995" s="73"/>
      <c r="D995" s="73"/>
      <c r="E995" s="14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row>
    <row r="996">
      <c r="B996" s="221"/>
      <c r="E996" s="222"/>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row>
    <row r="997">
      <c r="B997" s="221"/>
      <c r="E997" s="222"/>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row>
    <row r="998">
      <c r="B998" s="221"/>
      <c r="E998" s="222"/>
      <c r="G998" s="73"/>
      <c r="H998" s="73"/>
      <c r="O998" s="73"/>
      <c r="P998" s="73"/>
      <c r="Q998" s="73"/>
      <c r="R998" s="73"/>
      <c r="S998" s="73"/>
      <c r="T998" s="73"/>
      <c r="U998" s="73"/>
      <c r="V998" s="73"/>
      <c r="W998" s="73"/>
      <c r="X998" s="73"/>
      <c r="Y998" s="73"/>
      <c r="Z998" s="73"/>
      <c r="AA998" s="73"/>
      <c r="AB998" s="73"/>
      <c r="AC998" s="73"/>
    </row>
    <row r="999">
      <c r="B999" s="221"/>
      <c r="E999" s="222"/>
      <c r="G999" s="73"/>
      <c r="H999" s="73"/>
      <c r="O999" s="73"/>
      <c r="P999" s="73"/>
      <c r="Q999" s="73"/>
      <c r="R999" s="73"/>
      <c r="S999" s="73"/>
      <c r="T999" s="73"/>
      <c r="U999" s="73"/>
      <c r="V999" s="73"/>
      <c r="W999" s="73"/>
      <c r="X999" s="73"/>
      <c r="Y999" s="73"/>
      <c r="Z999" s="73"/>
      <c r="AA999" s="73"/>
      <c r="AB999" s="73"/>
      <c r="AC999" s="73"/>
    </row>
  </sheetData>
  <mergeCells count="27">
    <mergeCell ref="Q4:U4"/>
    <mergeCell ref="S5:U5"/>
    <mergeCell ref="S6:U6"/>
    <mergeCell ref="S7:U7"/>
    <mergeCell ref="Q9:U9"/>
    <mergeCell ref="Q18:W18"/>
    <mergeCell ref="A1:G1"/>
    <mergeCell ref="I2:N2"/>
    <mergeCell ref="A3:G3"/>
    <mergeCell ref="I3:I4"/>
    <mergeCell ref="J3:J4"/>
    <mergeCell ref="K3:K4"/>
    <mergeCell ref="L3:L4"/>
    <mergeCell ref="A22:G22"/>
    <mergeCell ref="A27:G27"/>
    <mergeCell ref="A34:G34"/>
    <mergeCell ref="A37:D37"/>
    <mergeCell ref="F37:G37"/>
    <mergeCell ref="A38:G38"/>
    <mergeCell ref="A40:E40"/>
    <mergeCell ref="M3:M4"/>
    <mergeCell ref="N3:N4"/>
    <mergeCell ref="H4:H9"/>
    <mergeCell ref="G11:G16"/>
    <mergeCell ref="A17:G17"/>
    <mergeCell ref="H18:H21"/>
    <mergeCell ref="H23:H26"/>
  </mergeCells>
  <hyperlinks>
    <hyperlink r:id="rId1" ref="O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9.5"/>
    <col customWidth="1" min="3" max="3" width="19.88"/>
    <col customWidth="1" min="4" max="4" width="13.38"/>
    <col customWidth="1" min="5" max="5" width="14.75"/>
    <col customWidth="1" min="6" max="6" width="23.75"/>
    <col customWidth="1" min="7" max="7" width="25.25"/>
    <col customWidth="1" min="8" max="26" width="32.13"/>
  </cols>
  <sheetData>
    <row r="1">
      <c r="A1" s="144" t="s">
        <v>368</v>
      </c>
      <c r="I1" s="145"/>
      <c r="J1" s="145"/>
      <c r="K1" s="145"/>
      <c r="L1" s="145"/>
      <c r="M1" s="145"/>
      <c r="N1" s="145"/>
      <c r="O1" s="145"/>
      <c r="P1" s="145"/>
      <c r="Q1" s="145"/>
      <c r="R1" s="145"/>
      <c r="S1" s="145"/>
      <c r="T1" s="145"/>
      <c r="U1" s="145"/>
      <c r="V1" s="145"/>
      <c r="W1" s="145"/>
      <c r="X1" s="145"/>
      <c r="Y1" s="145"/>
      <c r="Z1" s="145"/>
    </row>
    <row r="2">
      <c r="A2" s="146"/>
      <c r="B2" s="146"/>
      <c r="C2" s="146"/>
      <c r="D2" s="146"/>
      <c r="E2" s="146"/>
      <c r="F2" s="146"/>
      <c r="G2" s="146"/>
      <c r="H2" s="145"/>
      <c r="I2" s="145"/>
      <c r="J2" s="145"/>
      <c r="K2" s="145"/>
      <c r="L2" s="145"/>
      <c r="M2" s="145"/>
      <c r="N2" s="145"/>
      <c r="O2" s="145"/>
      <c r="P2" s="145"/>
      <c r="Q2" s="145"/>
      <c r="R2" s="145"/>
      <c r="S2" s="145"/>
      <c r="T2" s="145"/>
      <c r="U2" s="145"/>
      <c r="V2" s="145"/>
      <c r="W2" s="145"/>
      <c r="X2" s="145"/>
      <c r="Y2" s="145"/>
      <c r="Z2" s="145"/>
    </row>
    <row r="3">
      <c r="A3" s="147" t="s">
        <v>369</v>
      </c>
      <c r="D3" s="146"/>
      <c r="E3" s="146"/>
      <c r="F3" s="146"/>
      <c r="G3" s="146"/>
      <c r="H3" s="145"/>
      <c r="I3" s="145"/>
      <c r="J3" s="145"/>
      <c r="K3" s="145"/>
      <c r="L3" s="145"/>
      <c r="M3" s="145"/>
      <c r="N3" s="145"/>
      <c r="O3" s="145"/>
      <c r="P3" s="145"/>
      <c r="Q3" s="145"/>
      <c r="R3" s="145"/>
      <c r="S3" s="145"/>
      <c r="T3" s="145"/>
      <c r="U3" s="145"/>
      <c r="V3" s="145"/>
      <c r="W3" s="145"/>
      <c r="X3" s="145"/>
      <c r="Y3" s="145"/>
      <c r="Z3" s="145"/>
    </row>
    <row r="4">
      <c r="A4" s="148" t="s">
        <v>0</v>
      </c>
      <c r="B4" s="148" t="s">
        <v>370</v>
      </c>
      <c r="C4" s="148" t="s">
        <v>371</v>
      </c>
      <c r="D4" s="148" t="s">
        <v>372</v>
      </c>
      <c r="E4" s="148" t="s">
        <v>373</v>
      </c>
      <c r="F4" s="148" t="s">
        <v>374</v>
      </c>
      <c r="G4" s="148" t="s">
        <v>375</v>
      </c>
      <c r="H4" s="145"/>
      <c r="I4" s="145"/>
      <c r="J4" s="145"/>
      <c r="K4" s="145"/>
      <c r="L4" s="145"/>
      <c r="M4" s="145"/>
      <c r="N4" s="145"/>
      <c r="O4" s="145"/>
      <c r="P4" s="145"/>
      <c r="Q4" s="145"/>
      <c r="R4" s="145"/>
      <c r="S4" s="145"/>
      <c r="T4" s="145"/>
      <c r="U4" s="145"/>
      <c r="V4" s="145"/>
      <c r="W4" s="145"/>
      <c r="X4" s="145"/>
      <c r="Y4" s="145"/>
      <c r="Z4" s="145"/>
    </row>
    <row r="5">
      <c r="A5" s="149">
        <v>1.0</v>
      </c>
      <c r="B5" s="150" t="s">
        <v>262</v>
      </c>
      <c r="C5" s="149" t="s">
        <v>264</v>
      </c>
      <c r="D5" s="149">
        <v>1.0</v>
      </c>
      <c r="E5" s="151">
        <v>5000000.0</v>
      </c>
      <c r="F5" s="151">
        <v>5000000.0</v>
      </c>
      <c r="G5" s="151">
        <v>6.0E7</v>
      </c>
      <c r="H5" s="145"/>
      <c r="I5" s="145"/>
      <c r="J5" s="145"/>
      <c r="K5" s="145"/>
      <c r="L5" s="145"/>
      <c r="M5" s="145"/>
      <c r="N5" s="145"/>
      <c r="O5" s="145"/>
      <c r="P5" s="145"/>
      <c r="Q5" s="145"/>
      <c r="R5" s="145"/>
      <c r="S5" s="145"/>
      <c r="T5" s="145"/>
      <c r="U5" s="145"/>
      <c r="V5" s="145"/>
      <c r="W5" s="145"/>
      <c r="X5" s="145"/>
      <c r="Y5" s="145"/>
      <c r="Z5" s="145"/>
    </row>
    <row r="6">
      <c r="A6" s="149">
        <v>2.0</v>
      </c>
      <c r="B6" s="150" t="s">
        <v>269</v>
      </c>
      <c r="C6" s="149" t="s">
        <v>264</v>
      </c>
      <c r="D6" s="149">
        <v>1.0</v>
      </c>
      <c r="E6" s="151">
        <v>2500000.0</v>
      </c>
      <c r="F6" s="151">
        <v>2500000.0</v>
      </c>
      <c r="G6" s="151">
        <v>3.0E7</v>
      </c>
      <c r="H6" s="145"/>
      <c r="I6" s="145"/>
      <c r="J6" s="145"/>
      <c r="K6" s="145"/>
      <c r="L6" s="145"/>
      <c r="M6" s="145"/>
      <c r="N6" s="145"/>
      <c r="O6" s="145"/>
      <c r="P6" s="145"/>
      <c r="Q6" s="145"/>
      <c r="R6" s="145"/>
      <c r="S6" s="145"/>
      <c r="T6" s="145"/>
      <c r="U6" s="145"/>
      <c r="V6" s="145"/>
      <c r="W6" s="145"/>
      <c r="X6" s="145"/>
      <c r="Y6" s="145"/>
      <c r="Z6" s="145"/>
    </row>
    <row r="7">
      <c r="A7" s="149">
        <v>3.0</v>
      </c>
      <c r="B7" s="150" t="s">
        <v>290</v>
      </c>
      <c r="C7" s="149" t="s">
        <v>264</v>
      </c>
      <c r="D7" s="149">
        <v>1.0</v>
      </c>
      <c r="E7" s="151">
        <v>3500000.0</v>
      </c>
      <c r="F7" s="151">
        <v>3500000.0</v>
      </c>
      <c r="G7" s="151">
        <v>4.2E7</v>
      </c>
      <c r="H7" s="145"/>
      <c r="I7" s="145"/>
      <c r="J7" s="145"/>
      <c r="K7" s="145"/>
      <c r="L7" s="145"/>
      <c r="M7" s="145"/>
      <c r="N7" s="145"/>
      <c r="O7" s="145"/>
      <c r="P7" s="145"/>
      <c r="Q7" s="145"/>
      <c r="R7" s="145"/>
      <c r="S7" s="145"/>
      <c r="T7" s="145"/>
      <c r="U7" s="145"/>
      <c r="V7" s="145"/>
      <c r="W7" s="145"/>
      <c r="X7" s="145"/>
      <c r="Y7" s="145"/>
      <c r="Z7" s="145"/>
    </row>
    <row r="8">
      <c r="A8" s="149">
        <v>4.0</v>
      </c>
      <c r="B8" s="150" t="s">
        <v>301</v>
      </c>
      <c r="C8" s="149" t="s">
        <v>264</v>
      </c>
      <c r="D8" s="149">
        <v>1.0</v>
      </c>
      <c r="E8" s="151">
        <v>1200000.0</v>
      </c>
      <c r="F8" s="151">
        <v>1200000.0</v>
      </c>
      <c r="G8" s="151">
        <v>1.44E7</v>
      </c>
      <c r="H8" s="145"/>
      <c r="I8" s="145"/>
      <c r="J8" s="145"/>
      <c r="K8" s="145"/>
      <c r="L8" s="145"/>
      <c r="M8" s="145"/>
      <c r="N8" s="145"/>
      <c r="O8" s="145"/>
      <c r="P8" s="145"/>
      <c r="Q8" s="145"/>
      <c r="R8" s="145"/>
      <c r="S8" s="145"/>
      <c r="T8" s="145"/>
      <c r="U8" s="145"/>
      <c r="V8" s="145"/>
      <c r="W8" s="145"/>
      <c r="X8" s="145"/>
      <c r="Y8" s="145"/>
      <c r="Z8" s="145"/>
    </row>
    <row r="9">
      <c r="A9" s="149">
        <v>5.0</v>
      </c>
      <c r="B9" s="150" t="s">
        <v>308</v>
      </c>
      <c r="C9" s="149" t="s">
        <v>264</v>
      </c>
      <c r="D9" s="149">
        <v>1.0</v>
      </c>
      <c r="E9" s="151">
        <v>800000.0</v>
      </c>
      <c r="F9" s="151">
        <v>800000.0</v>
      </c>
      <c r="G9" s="151">
        <v>9600000.0</v>
      </c>
      <c r="H9" s="145"/>
      <c r="I9" s="145"/>
      <c r="J9" s="145"/>
      <c r="K9" s="145"/>
      <c r="L9" s="145"/>
      <c r="M9" s="145"/>
      <c r="N9" s="145"/>
      <c r="O9" s="145"/>
      <c r="P9" s="145"/>
      <c r="Q9" s="145"/>
      <c r="R9" s="145"/>
      <c r="S9" s="145"/>
      <c r="T9" s="145"/>
      <c r="U9" s="145"/>
      <c r="V9" s="145"/>
      <c r="W9" s="145"/>
      <c r="X9" s="145"/>
      <c r="Y9" s="145"/>
      <c r="Z9" s="145"/>
    </row>
    <row r="10">
      <c r="A10" s="149">
        <v>6.0</v>
      </c>
      <c r="B10" s="150" t="s">
        <v>311</v>
      </c>
      <c r="C10" s="149" t="s">
        <v>264</v>
      </c>
      <c r="D10" s="149">
        <v>1.0</v>
      </c>
      <c r="E10" s="151">
        <v>1000000.0</v>
      </c>
      <c r="F10" s="151">
        <v>1000000.0</v>
      </c>
      <c r="G10" s="151">
        <v>1.2E7</v>
      </c>
      <c r="H10" s="145"/>
      <c r="I10" s="145"/>
      <c r="J10" s="145"/>
      <c r="K10" s="145"/>
      <c r="L10" s="145"/>
      <c r="M10" s="145"/>
      <c r="N10" s="145"/>
      <c r="O10" s="145"/>
      <c r="P10" s="145"/>
      <c r="Q10" s="145"/>
      <c r="R10" s="145"/>
      <c r="S10" s="145"/>
      <c r="T10" s="145"/>
      <c r="U10" s="145"/>
      <c r="V10" s="145"/>
      <c r="W10" s="145"/>
      <c r="X10" s="145"/>
      <c r="Y10" s="145"/>
      <c r="Z10" s="145"/>
    </row>
    <row r="11">
      <c r="A11" s="152"/>
      <c r="B11" s="148" t="s">
        <v>376</v>
      </c>
      <c r="C11" s="152"/>
      <c r="D11" s="152"/>
      <c r="E11" s="153"/>
      <c r="F11" s="154">
        <v>1.4E7</v>
      </c>
      <c r="G11" s="154">
        <v>1.68E8</v>
      </c>
      <c r="H11" s="145"/>
      <c r="I11" s="145"/>
      <c r="J11" s="145"/>
      <c r="K11" s="145"/>
      <c r="L11" s="145"/>
      <c r="M11" s="145"/>
      <c r="N11" s="145"/>
      <c r="O11" s="145"/>
      <c r="P11" s="145"/>
      <c r="Q11" s="145"/>
      <c r="R11" s="145"/>
      <c r="S11" s="145"/>
      <c r="T11" s="145"/>
      <c r="U11" s="145"/>
      <c r="V11" s="145"/>
      <c r="W11" s="145"/>
      <c r="X11" s="145"/>
      <c r="Y11" s="145"/>
      <c r="Z11" s="145"/>
    </row>
    <row r="12">
      <c r="A12" s="146"/>
      <c r="B12" s="146"/>
      <c r="C12" s="146"/>
      <c r="D12" s="146"/>
      <c r="E12" s="146"/>
      <c r="F12" s="146"/>
      <c r="G12" s="146"/>
      <c r="H12" s="145"/>
      <c r="I12" s="145"/>
      <c r="J12" s="145"/>
      <c r="K12" s="145"/>
      <c r="L12" s="145"/>
      <c r="M12" s="145"/>
      <c r="N12" s="145"/>
      <c r="O12" s="145"/>
      <c r="P12" s="145"/>
      <c r="Q12" s="145"/>
      <c r="R12" s="145"/>
      <c r="S12" s="145"/>
      <c r="T12" s="145"/>
      <c r="U12" s="145"/>
      <c r="V12" s="145"/>
      <c r="W12" s="145"/>
      <c r="X12" s="145"/>
      <c r="Y12" s="145"/>
      <c r="Z12" s="145"/>
    </row>
    <row r="13">
      <c r="A13" s="147" t="s">
        <v>377</v>
      </c>
      <c r="D13" s="146"/>
      <c r="E13" s="146"/>
      <c r="F13" s="146"/>
      <c r="G13" s="146"/>
      <c r="H13" s="145"/>
      <c r="I13" s="145"/>
      <c r="J13" s="145"/>
      <c r="K13" s="145"/>
      <c r="L13" s="145"/>
      <c r="M13" s="145"/>
      <c r="N13" s="145"/>
      <c r="O13" s="145"/>
      <c r="P13" s="145"/>
      <c r="Q13" s="145"/>
      <c r="R13" s="145"/>
      <c r="S13" s="145"/>
      <c r="T13" s="145"/>
      <c r="U13" s="145"/>
      <c r="V13" s="145"/>
      <c r="W13" s="145"/>
      <c r="X13" s="145"/>
      <c r="Y13" s="145"/>
      <c r="Z13" s="145"/>
    </row>
    <row r="14">
      <c r="A14" s="155" t="s">
        <v>284</v>
      </c>
      <c r="B14" s="155" t="s">
        <v>378</v>
      </c>
      <c r="C14" s="155" t="s">
        <v>379</v>
      </c>
      <c r="D14" s="146"/>
      <c r="E14" s="146"/>
      <c r="F14" s="146"/>
      <c r="G14" s="145"/>
      <c r="H14" s="145"/>
      <c r="I14" s="145"/>
      <c r="J14" s="145"/>
      <c r="K14" s="145"/>
      <c r="L14" s="145"/>
      <c r="M14" s="145"/>
      <c r="N14" s="145"/>
      <c r="O14" s="145"/>
      <c r="P14" s="145"/>
      <c r="Q14" s="145"/>
      <c r="R14" s="145"/>
      <c r="S14" s="145"/>
      <c r="T14" s="145"/>
      <c r="U14" s="145"/>
      <c r="V14" s="145"/>
      <c r="W14" s="145"/>
      <c r="X14" s="145"/>
      <c r="Y14" s="145"/>
    </row>
    <row r="15">
      <c r="A15" s="156">
        <v>2026.0</v>
      </c>
      <c r="B15" s="157" t="s">
        <v>380</v>
      </c>
      <c r="C15" s="158">
        <v>0.35</v>
      </c>
      <c r="D15" s="146"/>
      <c r="E15" s="146"/>
      <c r="F15" s="146"/>
      <c r="G15" s="145"/>
      <c r="H15" s="145"/>
      <c r="I15" s="145"/>
      <c r="J15" s="145"/>
      <c r="K15" s="145"/>
      <c r="L15" s="145"/>
      <c r="M15" s="145"/>
      <c r="N15" s="145"/>
      <c r="O15" s="145"/>
      <c r="P15" s="145"/>
      <c r="Q15" s="145"/>
      <c r="R15" s="145"/>
      <c r="S15" s="145"/>
      <c r="T15" s="145"/>
      <c r="U15" s="145"/>
      <c r="V15" s="145"/>
      <c r="W15" s="145"/>
      <c r="X15" s="145"/>
      <c r="Y15" s="145"/>
    </row>
    <row r="16">
      <c r="A16" s="156">
        <v>2027.0</v>
      </c>
      <c r="B16" s="157" t="s">
        <v>381</v>
      </c>
      <c r="C16" s="158">
        <v>0.45</v>
      </c>
      <c r="D16" s="146"/>
      <c r="E16" s="146"/>
      <c r="F16" s="146"/>
      <c r="G16" s="145"/>
      <c r="H16" s="145"/>
      <c r="I16" s="145"/>
      <c r="J16" s="145"/>
      <c r="K16" s="145"/>
      <c r="L16" s="145"/>
      <c r="M16" s="145"/>
      <c r="N16" s="145"/>
      <c r="O16" s="145"/>
      <c r="P16" s="145"/>
      <c r="Q16" s="145"/>
      <c r="R16" s="145"/>
      <c r="S16" s="145"/>
      <c r="T16" s="145"/>
      <c r="U16" s="145"/>
      <c r="V16" s="145"/>
      <c r="W16" s="145"/>
      <c r="X16" s="145"/>
      <c r="Y16" s="145"/>
    </row>
    <row r="17">
      <c r="A17" s="156">
        <v>2028.0</v>
      </c>
      <c r="B17" s="157" t="s">
        <v>382</v>
      </c>
      <c r="C17" s="158">
        <v>1.0</v>
      </c>
      <c r="D17" s="146"/>
      <c r="E17" s="146"/>
      <c r="F17" s="146"/>
      <c r="G17" s="145"/>
      <c r="H17" s="145"/>
      <c r="I17" s="145"/>
      <c r="J17" s="145"/>
      <c r="K17" s="145"/>
      <c r="L17" s="145"/>
      <c r="M17" s="145"/>
      <c r="N17" s="145"/>
      <c r="O17" s="145"/>
      <c r="P17" s="145"/>
      <c r="Q17" s="145"/>
      <c r="R17" s="145"/>
      <c r="S17" s="145"/>
      <c r="T17" s="145"/>
      <c r="U17" s="145"/>
      <c r="V17" s="145"/>
      <c r="W17" s="145"/>
      <c r="X17" s="145"/>
      <c r="Y17" s="145"/>
    </row>
    <row r="18">
      <c r="A18" s="156">
        <v>2029.0</v>
      </c>
      <c r="B18" s="157" t="s">
        <v>383</v>
      </c>
      <c r="C18" s="158">
        <v>0.4</v>
      </c>
      <c r="D18" s="146"/>
      <c r="E18" s="146"/>
      <c r="F18" s="146"/>
      <c r="G18" s="145"/>
      <c r="H18" s="145"/>
      <c r="I18" s="145"/>
      <c r="J18" s="145"/>
      <c r="K18" s="145"/>
      <c r="L18" s="145"/>
      <c r="M18" s="145"/>
      <c r="N18" s="145"/>
      <c r="O18" s="145"/>
      <c r="P18" s="145"/>
      <c r="Q18" s="145"/>
      <c r="R18" s="145"/>
      <c r="S18" s="145"/>
      <c r="T18" s="145"/>
      <c r="U18" s="145"/>
      <c r="V18" s="145"/>
      <c r="W18" s="145"/>
      <c r="X18" s="145"/>
      <c r="Y18" s="145"/>
    </row>
    <row r="19">
      <c r="A19" s="156">
        <v>2030.0</v>
      </c>
      <c r="B19" s="157" t="s">
        <v>384</v>
      </c>
      <c r="C19" s="158">
        <v>0.35</v>
      </c>
      <c r="D19" s="146"/>
      <c r="E19" s="146"/>
      <c r="F19" s="146"/>
      <c r="G19" s="145"/>
      <c r="H19" s="145"/>
      <c r="I19" s="145"/>
      <c r="J19" s="145"/>
      <c r="K19" s="145"/>
      <c r="L19" s="145"/>
      <c r="M19" s="145"/>
      <c r="N19" s="145"/>
      <c r="O19" s="145"/>
      <c r="P19" s="145"/>
      <c r="Q19" s="145"/>
      <c r="R19" s="145"/>
      <c r="S19" s="145"/>
      <c r="T19" s="145"/>
      <c r="U19" s="145"/>
      <c r="V19" s="145"/>
      <c r="W19" s="145"/>
      <c r="X19" s="145"/>
      <c r="Y19" s="145"/>
    </row>
    <row r="20">
      <c r="A20" s="156">
        <v>2031.0</v>
      </c>
      <c r="B20" s="157" t="s">
        <v>385</v>
      </c>
      <c r="C20" s="158">
        <v>0.45</v>
      </c>
      <c r="D20" s="146"/>
      <c r="E20" s="146"/>
      <c r="F20" s="146"/>
      <c r="G20" s="145"/>
      <c r="H20" s="145"/>
      <c r="I20" s="145"/>
      <c r="J20" s="145"/>
      <c r="K20" s="145"/>
      <c r="L20" s="145"/>
      <c r="M20" s="145"/>
      <c r="N20" s="145"/>
      <c r="O20" s="145"/>
      <c r="P20" s="145"/>
      <c r="Q20" s="145"/>
      <c r="R20" s="145"/>
      <c r="S20" s="145"/>
      <c r="T20" s="145"/>
      <c r="U20" s="145"/>
      <c r="V20" s="145"/>
      <c r="W20" s="145"/>
      <c r="X20" s="145"/>
      <c r="Y20" s="145"/>
    </row>
    <row r="21">
      <c r="A21" s="146"/>
      <c r="B21" s="146"/>
      <c r="C21" s="146"/>
      <c r="D21" s="146"/>
      <c r="E21" s="146"/>
      <c r="F21" s="146"/>
      <c r="G21" s="146"/>
      <c r="H21" s="145"/>
      <c r="I21" s="145"/>
      <c r="J21" s="145"/>
      <c r="K21" s="145"/>
      <c r="L21" s="145"/>
      <c r="M21" s="145"/>
      <c r="N21" s="145"/>
      <c r="O21" s="145"/>
      <c r="P21" s="145"/>
      <c r="Q21" s="145"/>
      <c r="R21" s="145"/>
      <c r="S21" s="145"/>
      <c r="T21" s="145"/>
      <c r="U21" s="145"/>
      <c r="V21" s="145"/>
      <c r="W21" s="145"/>
      <c r="X21" s="145"/>
      <c r="Y21" s="145"/>
      <c r="Z21" s="145"/>
    </row>
    <row r="22">
      <c r="A22" s="147" t="s">
        <v>386</v>
      </c>
      <c r="C22" s="146"/>
      <c r="D22" s="146"/>
      <c r="E22" s="146"/>
      <c r="F22" s="146"/>
      <c r="G22" s="146"/>
      <c r="H22" s="145"/>
      <c r="I22" s="145"/>
      <c r="J22" s="145"/>
      <c r="K22" s="145"/>
      <c r="L22" s="145"/>
      <c r="M22" s="145"/>
      <c r="N22" s="145"/>
      <c r="O22" s="145"/>
      <c r="P22" s="145"/>
      <c r="Q22" s="145"/>
      <c r="R22" s="145"/>
      <c r="S22" s="145"/>
      <c r="T22" s="145"/>
      <c r="U22" s="145"/>
      <c r="V22" s="145"/>
      <c r="W22" s="145"/>
      <c r="X22" s="145"/>
      <c r="Y22" s="145"/>
      <c r="Z22" s="145"/>
    </row>
    <row r="23">
      <c r="A23" s="148" t="s">
        <v>63</v>
      </c>
      <c r="B23" s="148">
        <v>2026.0</v>
      </c>
      <c r="C23" s="148">
        <v>2027.0</v>
      </c>
      <c r="D23" s="148">
        <v>2028.0</v>
      </c>
      <c r="E23" s="148">
        <v>2029.0</v>
      </c>
      <c r="F23" s="148">
        <v>2030.0</v>
      </c>
      <c r="G23" s="148">
        <v>2031.0</v>
      </c>
      <c r="H23" s="145"/>
      <c r="I23" s="145"/>
      <c r="J23" s="145"/>
      <c r="K23" s="145"/>
      <c r="L23" s="145"/>
      <c r="M23" s="145"/>
      <c r="N23" s="145"/>
      <c r="O23" s="145"/>
      <c r="P23" s="145"/>
      <c r="Q23" s="145"/>
      <c r="R23" s="145"/>
      <c r="S23" s="145"/>
      <c r="T23" s="145"/>
      <c r="U23" s="145"/>
      <c r="V23" s="145"/>
      <c r="W23" s="145"/>
      <c r="X23" s="145"/>
      <c r="Y23" s="145"/>
      <c r="Z23" s="145"/>
    </row>
    <row r="24">
      <c r="A24" s="148" t="s">
        <v>387</v>
      </c>
      <c r="B24" s="154">
        <v>2.646E7</v>
      </c>
      <c r="C24" s="154">
        <v>7.56E7</v>
      </c>
      <c r="D24" s="154">
        <v>1.68E8</v>
      </c>
      <c r="E24" s="154">
        <v>2.352E8</v>
      </c>
      <c r="F24" s="154">
        <v>3.1752E8</v>
      </c>
      <c r="G24" s="154">
        <v>4.60404E8</v>
      </c>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mergeCells count="4">
    <mergeCell ref="A1:H1"/>
    <mergeCell ref="A3:C3"/>
    <mergeCell ref="A13:C13"/>
    <mergeCell ref="A22:B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4.38"/>
    <col customWidth="1" min="3" max="3" width="16.25"/>
    <col customWidth="1" min="7" max="7" width="36.13"/>
  </cols>
  <sheetData>
    <row r="1">
      <c r="A1" s="159" t="s">
        <v>388</v>
      </c>
      <c r="B1" s="160"/>
      <c r="C1" s="160"/>
      <c r="D1" s="160"/>
      <c r="E1" s="160"/>
      <c r="F1" s="160"/>
      <c r="G1" s="161"/>
    </row>
    <row r="2">
      <c r="A2" s="162" t="s">
        <v>389</v>
      </c>
      <c r="B2" s="162" t="s">
        <v>390</v>
      </c>
      <c r="C2" s="162" t="s">
        <v>391</v>
      </c>
      <c r="D2" s="162" t="s">
        <v>392</v>
      </c>
      <c r="E2" s="162" t="s">
        <v>393</v>
      </c>
      <c r="F2" s="162" t="s">
        <v>394</v>
      </c>
      <c r="G2" s="162" t="s">
        <v>205</v>
      </c>
    </row>
    <row r="3">
      <c r="A3" s="163">
        <v>1.0</v>
      </c>
      <c r="B3" s="164" t="s">
        <v>276</v>
      </c>
      <c r="C3" s="165">
        <v>2.5E7</v>
      </c>
      <c r="D3" s="163">
        <v>3.0</v>
      </c>
      <c r="E3" s="165">
        <f t="shared" ref="E3:E7" si="1">C3/3</f>
        <v>8333333.333</v>
      </c>
      <c r="F3" s="165">
        <f t="shared" ref="F3:F7" si="2">E3/12</f>
        <v>694444.4444</v>
      </c>
      <c r="G3" s="166" t="s">
        <v>395</v>
      </c>
    </row>
    <row r="4">
      <c r="A4" s="163">
        <v>2.0</v>
      </c>
      <c r="B4" s="164" t="s">
        <v>279</v>
      </c>
      <c r="C4" s="165">
        <v>3000000.0</v>
      </c>
      <c r="D4" s="163">
        <v>5.0</v>
      </c>
      <c r="E4" s="165">
        <f t="shared" si="1"/>
        <v>1000000</v>
      </c>
      <c r="F4" s="165">
        <f t="shared" si="2"/>
        <v>83333.33333</v>
      </c>
      <c r="G4" s="166" t="s">
        <v>396</v>
      </c>
    </row>
    <row r="5">
      <c r="A5" s="163">
        <v>3.0</v>
      </c>
      <c r="B5" s="164" t="s">
        <v>280</v>
      </c>
      <c r="C5" s="165">
        <v>5690000.0</v>
      </c>
      <c r="D5" s="163">
        <v>3.0</v>
      </c>
      <c r="E5" s="165">
        <f t="shared" si="1"/>
        <v>1896666.667</v>
      </c>
      <c r="F5" s="165">
        <f t="shared" si="2"/>
        <v>158055.5556</v>
      </c>
      <c r="G5" s="166" t="s">
        <v>395</v>
      </c>
    </row>
    <row r="6">
      <c r="A6" s="163">
        <v>4.0</v>
      </c>
      <c r="B6" s="164" t="s">
        <v>283</v>
      </c>
      <c r="C6" s="165">
        <v>7000000.0</v>
      </c>
      <c r="D6" s="163">
        <v>5.0</v>
      </c>
      <c r="E6" s="165">
        <f t="shared" si="1"/>
        <v>2333333.333</v>
      </c>
      <c r="F6" s="165">
        <f t="shared" si="2"/>
        <v>194444.4444</v>
      </c>
      <c r="G6" s="166" t="s">
        <v>396</v>
      </c>
    </row>
    <row r="7">
      <c r="A7" s="163">
        <v>5.0</v>
      </c>
      <c r="B7" s="164" t="s">
        <v>397</v>
      </c>
      <c r="C7" s="165">
        <v>7000000.0</v>
      </c>
      <c r="D7" s="163">
        <v>3.0</v>
      </c>
      <c r="E7" s="165">
        <f t="shared" si="1"/>
        <v>2333333.333</v>
      </c>
      <c r="F7" s="165">
        <f t="shared" si="2"/>
        <v>194444.4444</v>
      </c>
      <c r="G7" s="166" t="s">
        <v>398</v>
      </c>
    </row>
    <row r="8">
      <c r="A8" s="167"/>
      <c r="B8" s="107" t="s">
        <v>168</v>
      </c>
      <c r="C8" s="168">
        <f>SUM(C3:C7)</f>
        <v>47690000</v>
      </c>
      <c r="D8" s="169"/>
      <c r="E8" s="168">
        <f t="shared" ref="E8:F8" si="3">SUM(E3:E7)</f>
        <v>15896666.67</v>
      </c>
      <c r="F8" s="168">
        <f t="shared" si="3"/>
        <v>1324722.222</v>
      </c>
      <c r="G8" s="170"/>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4" max="4" width="13.75"/>
    <col customWidth="1" min="5" max="5" width="13.38"/>
    <col customWidth="1" min="6" max="6" width="14.63"/>
    <col customWidth="1" min="7" max="7" width="15.38"/>
    <col customWidth="1" min="17" max="17" width="24.25"/>
  </cols>
  <sheetData>
    <row r="3">
      <c r="A3" s="171" t="s">
        <v>400</v>
      </c>
      <c r="H3" s="173"/>
    </row>
    <row r="4">
      <c r="A4" s="174"/>
      <c r="B4" s="174"/>
      <c r="C4" s="174"/>
      <c r="D4" s="174"/>
      <c r="E4" s="174"/>
      <c r="F4" s="174"/>
      <c r="G4" s="174"/>
      <c r="H4" s="174"/>
    </row>
    <row r="5">
      <c r="A5" s="176" t="s">
        <v>402</v>
      </c>
      <c r="B5" s="4"/>
      <c r="C5" s="4"/>
      <c r="D5" s="4"/>
      <c r="E5" s="4"/>
      <c r="F5" s="4"/>
      <c r="G5" s="8"/>
      <c r="H5" s="174"/>
    </row>
    <row r="6">
      <c r="A6" s="178" t="s">
        <v>63</v>
      </c>
      <c r="B6" s="107">
        <v>2026.0</v>
      </c>
      <c r="C6" s="107">
        <v>2027.0</v>
      </c>
      <c r="D6" s="107">
        <v>2028.0</v>
      </c>
      <c r="E6" s="107">
        <v>2029.0</v>
      </c>
      <c r="F6" s="107">
        <v>2030.0</v>
      </c>
      <c r="G6" s="107">
        <v>2031.0</v>
      </c>
      <c r="H6" s="174"/>
    </row>
    <row r="7">
      <c r="A7" s="181" t="s">
        <v>413</v>
      </c>
      <c r="B7" s="163">
        <v>0.0</v>
      </c>
      <c r="C7" s="163">
        <v>4.0</v>
      </c>
      <c r="D7" s="163">
        <v>18.0</v>
      </c>
      <c r="E7" s="163">
        <v>35.0</v>
      </c>
      <c r="F7" s="163">
        <v>60.0</v>
      </c>
      <c r="G7" s="163">
        <v>95.0</v>
      </c>
      <c r="H7" s="174"/>
    </row>
    <row r="8">
      <c r="A8" s="181" t="s">
        <v>418</v>
      </c>
      <c r="B8" s="163" t="s">
        <v>419</v>
      </c>
      <c r="C8" s="163" t="s">
        <v>420</v>
      </c>
      <c r="D8" s="163" t="s">
        <v>421</v>
      </c>
      <c r="E8" s="163" t="s">
        <v>422</v>
      </c>
      <c r="F8" s="163" t="s">
        <v>423</v>
      </c>
      <c r="G8" s="163" t="s">
        <v>424</v>
      </c>
      <c r="H8" s="174"/>
    </row>
    <row r="9">
      <c r="A9" s="181" t="s">
        <v>425</v>
      </c>
      <c r="B9" s="163">
        <v>0.0</v>
      </c>
      <c r="C9" s="163">
        <v>4.0</v>
      </c>
      <c r="D9" s="163">
        <v>14.0</v>
      </c>
      <c r="E9" s="163">
        <v>17.0</v>
      </c>
      <c r="F9" s="163">
        <v>25.0</v>
      </c>
      <c r="G9" s="163">
        <v>35.0</v>
      </c>
      <c r="H9" s="174"/>
    </row>
    <row r="10">
      <c r="A10" s="181" t="s">
        <v>426</v>
      </c>
      <c r="B10" s="163">
        <v>0.0</v>
      </c>
      <c r="C10" s="163">
        <v>12.0</v>
      </c>
      <c r="D10" s="163">
        <v>15.0</v>
      </c>
      <c r="E10" s="163">
        <v>15.0</v>
      </c>
      <c r="F10" s="163">
        <v>16.0</v>
      </c>
      <c r="G10" s="163">
        <v>16.0</v>
      </c>
      <c r="H10" s="174"/>
    </row>
    <row r="11">
      <c r="A11" s="181" t="s">
        <v>427</v>
      </c>
      <c r="B11" s="165">
        <v>0.0</v>
      </c>
      <c r="C11" s="165">
        <v>6000000.0</v>
      </c>
      <c r="D11" s="165">
        <v>6000000.0</v>
      </c>
      <c r="E11" s="165">
        <v>6500000.0</v>
      </c>
      <c r="F11" s="165">
        <v>6500000.0</v>
      </c>
      <c r="G11" s="165">
        <v>7000000.0</v>
      </c>
      <c r="H11" s="174"/>
    </row>
    <row r="12">
      <c r="A12" s="181" t="s">
        <v>428</v>
      </c>
      <c r="B12" s="165">
        <v>0.0</v>
      </c>
      <c r="C12" s="165">
        <v>200000.0</v>
      </c>
      <c r="D12" s="165">
        <v>200000.0</v>
      </c>
      <c r="E12" s="165">
        <v>220000.0</v>
      </c>
      <c r="F12" s="165">
        <v>220000.0</v>
      </c>
      <c r="G12" s="165">
        <v>240000.0</v>
      </c>
      <c r="H12" s="174"/>
    </row>
    <row r="13">
      <c r="A13" s="181" t="s">
        <v>430</v>
      </c>
      <c r="B13" s="165">
        <v>5000000.0</v>
      </c>
      <c r="C13" s="165">
        <v>5000000.0</v>
      </c>
      <c r="D13" s="165">
        <v>5000000.0</v>
      </c>
      <c r="E13" s="165">
        <v>5000000.0</v>
      </c>
      <c r="F13" s="165">
        <v>5000000.0</v>
      </c>
      <c r="G13" s="165">
        <v>5000000.0</v>
      </c>
      <c r="H13" s="174"/>
    </row>
    <row r="14">
      <c r="A14" s="181" t="s">
        <v>432</v>
      </c>
      <c r="B14" s="165">
        <v>0.0</v>
      </c>
      <c r="C14" s="165">
        <v>0.0</v>
      </c>
      <c r="D14" s="165">
        <v>0.0</v>
      </c>
      <c r="E14" s="165">
        <v>0.1</v>
      </c>
      <c r="F14" s="165">
        <v>0.1</v>
      </c>
      <c r="G14" s="165">
        <v>0.12</v>
      </c>
      <c r="H14" s="174"/>
    </row>
    <row r="15">
      <c r="A15" s="181" t="s">
        <v>433</v>
      </c>
      <c r="B15" s="165">
        <v>1.5E7</v>
      </c>
      <c r="C15" s="165">
        <v>1.5E7</v>
      </c>
      <c r="D15" s="165">
        <v>1.5E7</v>
      </c>
      <c r="E15" s="165">
        <v>1.5E7</v>
      </c>
      <c r="F15" s="165">
        <v>1.5E7</v>
      </c>
      <c r="G15" s="165">
        <v>1.5E7</v>
      </c>
      <c r="H15" s="174"/>
    </row>
    <row r="16">
      <c r="A16" s="181" t="s">
        <v>435</v>
      </c>
      <c r="B16" s="163">
        <v>0.0</v>
      </c>
      <c r="C16" s="163">
        <v>0.0</v>
      </c>
      <c r="D16" s="163">
        <v>0.0</v>
      </c>
      <c r="E16" s="163">
        <v>0.0</v>
      </c>
      <c r="F16" s="163">
        <v>0.0</v>
      </c>
      <c r="G16" s="163">
        <v>2.0E7</v>
      </c>
      <c r="H16" s="174"/>
    </row>
    <row r="17">
      <c r="A17" s="181" t="s">
        <v>436</v>
      </c>
      <c r="B17" s="163">
        <v>0.0</v>
      </c>
      <c r="C17" s="163">
        <v>0.0</v>
      </c>
      <c r="D17" s="163">
        <v>0.0</v>
      </c>
      <c r="E17" s="163">
        <v>0.0</v>
      </c>
      <c r="F17" s="163">
        <v>0.0</v>
      </c>
      <c r="G17" s="163">
        <v>1.5E7</v>
      </c>
      <c r="H17" s="174"/>
    </row>
    <row r="18">
      <c r="A18" s="174"/>
      <c r="B18" s="174"/>
      <c r="C18" s="174"/>
      <c r="D18" s="174"/>
      <c r="E18" s="174"/>
      <c r="F18" s="174"/>
      <c r="G18" s="174"/>
      <c r="H18" s="174"/>
    </row>
    <row r="19">
      <c r="A19" s="178" t="s">
        <v>438</v>
      </c>
      <c r="B19" s="187"/>
      <c r="C19" s="187"/>
      <c r="D19" s="187"/>
      <c r="E19" s="187"/>
      <c r="F19" s="187"/>
      <c r="G19" s="187"/>
      <c r="H19" s="174"/>
    </row>
    <row r="20">
      <c r="A20" s="178" t="s">
        <v>15</v>
      </c>
      <c r="B20" s="107">
        <v>2026.0</v>
      </c>
      <c r="C20" s="107">
        <v>2027.0</v>
      </c>
      <c r="D20" s="107">
        <v>2028.0</v>
      </c>
      <c r="E20" s="107">
        <v>2029.0</v>
      </c>
      <c r="F20" s="107">
        <v>2030.0</v>
      </c>
      <c r="G20" s="107">
        <v>2031.0</v>
      </c>
      <c r="H20" s="174"/>
    </row>
    <row r="21">
      <c r="A21" s="181" t="s">
        <v>440</v>
      </c>
      <c r="B21" s="165">
        <v>0.0</v>
      </c>
      <c r="C21" s="165">
        <v>1.44E8</v>
      </c>
      <c r="D21" s="165">
        <v>7.92E8</v>
      </c>
      <c r="E21" s="165">
        <v>2.067E9</v>
      </c>
      <c r="F21" s="165">
        <v>3.705E9</v>
      </c>
      <c r="G21" s="165">
        <v>6.51E9</v>
      </c>
      <c r="H21" s="174"/>
    </row>
    <row r="22">
      <c r="A22" s="181" t="s">
        <v>442</v>
      </c>
      <c r="B22" s="165">
        <v>0.0</v>
      </c>
      <c r="C22" s="165">
        <v>5.76E7</v>
      </c>
      <c r="D22" s="165">
        <v>3.96E8</v>
      </c>
      <c r="E22" s="165">
        <v>1.0494E9</v>
      </c>
      <c r="F22" s="165">
        <v>2.0064E9</v>
      </c>
      <c r="G22" s="165">
        <v>3.5712E9</v>
      </c>
      <c r="H22" s="174"/>
    </row>
    <row r="23">
      <c r="A23" s="181" t="s">
        <v>444</v>
      </c>
      <c r="B23" s="165">
        <v>0.0</v>
      </c>
      <c r="C23" s="165">
        <v>2.0E7</v>
      </c>
      <c r="D23" s="165">
        <v>7.0E7</v>
      </c>
      <c r="E23" s="165">
        <v>8.5E7</v>
      </c>
      <c r="F23" s="165">
        <v>1.25E8</v>
      </c>
      <c r="G23" s="165">
        <v>1.75E8</v>
      </c>
      <c r="H23" s="174"/>
    </row>
    <row r="24">
      <c r="A24" s="181" t="s">
        <v>446</v>
      </c>
      <c r="B24" s="165">
        <v>0.0</v>
      </c>
      <c r="C24" s="165">
        <v>0.0</v>
      </c>
      <c r="D24" s="184">
        <v>9900000.0</v>
      </c>
      <c r="E24" s="184">
        <v>3.5775E7</v>
      </c>
      <c r="F24" s="184">
        <v>8.55E7</v>
      </c>
      <c r="G24" s="184">
        <v>1.74375E8</v>
      </c>
      <c r="H24" s="174"/>
    </row>
    <row r="25">
      <c r="A25" s="181" t="s">
        <v>448</v>
      </c>
      <c r="B25" s="165">
        <v>0.0</v>
      </c>
      <c r="C25" s="165">
        <v>0.0</v>
      </c>
      <c r="D25" s="184" t="s">
        <v>449</v>
      </c>
      <c r="E25" s="184" t="s">
        <v>449</v>
      </c>
      <c r="F25" s="184">
        <v>1.5E7</v>
      </c>
      <c r="G25" s="184">
        <v>2.5E7</v>
      </c>
      <c r="H25" s="174"/>
    </row>
    <row r="26">
      <c r="A26" s="181" t="s">
        <v>451</v>
      </c>
      <c r="B26" s="165">
        <v>0.0</v>
      </c>
      <c r="C26" s="165">
        <v>0.0</v>
      </c>
      <c r="D26" s="184" t="s">
        <v>449</v>
      </c>
      <c r="E26" s="184">
        <v>1.0E7</v>
      </c>
      <c r="F26" s="184">
        <v>1.5E7</v>
      </c>
      <c r="G26" s="184">
        <v>2.0E7</v>
      </c>
      <c r="H26" s="174"/>
    </row>
    <row r="27">
      <c r="A27" s="190" t="s">
        <v>452</v>
      </c>
      <c r="B27" s="191">
        <v>0.0</v>
      </c>
      <c r="C27" s="191">
        <v>2.216E8</v>
      </c>
      <c r="D27" s="192">
        <v>1.2679E9</v>
      </c>
      <c r="E27" s="192">
        <v>3.247175E9</v>
      </c>
      <c r="F27" s="192">
        <v>5.9519E9</v>
      </c>
      <c r="G27" s="192">
        <v>1.0475575E10</v>
      </c>
      <c r="H27" s="174"/>
    </row>
  </sheetData>
  <mergeCells count="2">
    <mergeCell ref="A3:G3"/>
    <mergeCell ref="A5:G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35.75"/>
    <col customWidth="1" min="3" max="3" width="13.38"/>
    <col customWidth="1" min="4" max="5" width="13.88"/>
    <col customWidth="1" min="6" max="6" width="14.63"/>
    <col customWidth="1" min="7" max="7" width="14.25"/>
    <col customWidth="1" min="9" max="9" width="16.13"/>
    <col customWidth="1" min="10" max="10" width="14.38"/>
    <col customWidth="1" min="13" max="13" width="20.5"/>
    <col customWidth="1" min="16" max="16" width="20.13"/>
  </cols>
  <sheetData>
    <row r="1">
      <c r="A1" s="172" t="s">
        <v>399</v>
      </c>
      <c r="B1" s="4"/>
      <c r="C1" s="4"/>
      <c r="D1" s="4"/>
      <c r="E1" s="4"/>
      <c r="F1" s="4"/>
      <c r="G1" s="8"/>
      <c r="I1" s="175" t="s">
        <v>401</v>
      </c>
      <c r="J1" s="4"/>
      <c r="K1" s="4"/>
      <c r="L1" s="4"/>
      <c r="M1" s="4"/>
      <c r="N1" s="4"/>
      <c r="O1" s="4"/>
      <c r="P1" s="8"/>
    </row>
    <row r="2">
      <c r="A2" s="177" t="s">
        <v>403</v>
      </c>
      <c r="B2" s="177" t="s">
        <v>63</v>
      </c>
      <c r="C2" s="177" t="s">
        <v>404</v>
      </c>
      <c r="D2" s="177" t="s">
        <v>405</v>
      </c>
      <c r="E2" s="177" t="s">
        <v>406</v>
      </c>
      <c r="F2" s="179" t="s">
        <v>407</v>
      </c>
      <c r="G2" s="177" t="s">
        <v>408</v>
      </c>
      <c r="I2" s="180" t="s">
        <v>264</v>
      </c>
      <c r="J2" s="180" t="s">
        <v>409</v>
      </c>
      <c r="K2" s="180" t="s">
        <v>410</v>
      </c>
      <c r="L2" s="180" t="s">
        <v>411</v>
      </c>
      <c r="M2" s="180" t="s">
        <v>412</v>
      </c>
      <c r="N2" s="180" t="s">
        <v>414</v>
      </c>
      <c r="O2" s="180" t="s">
        <v>415</v>
      </c>
      <c r="P2" s="180" t="s">
        <v>416</v>
      </c>
    </row>
    <row r="3">
      <c r="A3" s="182">
        <v>1.0</v>
      </c>
      <c r="B3" s="183" t="s">
        <v>417</v>
      </c>
      <c r="C3" s="184">
        <v>2.216E8</v>
      </c>
      <c r="D3" s="184">
        <v>1.258E9</v>
      </c>
      <c r="E3" s="184">
        <v>3.24115E9</v>
      </c>
      <c r="F3" s="184">
        <v>5.90765E9</v>
      </c>
      <c r="G3" s="184">
        <v>1.04307E10</v>
      </c>
      <c r="I3" s="185">
        <v>1.0</v>
      </c>
      <c r="J3" s="184">
        <v>1.8466667E7</v>
      </c>
      <c r="K3" s="184">
        <v>6300000.0</v>
      </c>
      <c r="L3" s="184">
        <v>2.4945679E7</v>
      </c>
      <c r="M3" s="184">
        <v>794833.0</v>
      </c>
      <c r="N3" s="184">
        <v>-1.3573845E7</v>
      </c>
      <c r="O3" s="184">
        <v>0.0</v>
      </c>
      <c r="P3" s="184">
        <v>-1.3573845E7</v>
      </c>
    </row>
    <row r="4">
      <c r="A4" s="182">
        <v>2.0</v>
      </c>
      <c r="B4" s="183" t="s">
        <v>429</v>
      </c>
      <c r="C4" s="184">
        <v>7.56E7</v>
      </c>
      <c r="D4" s="184">
        <v>1.68E8</v>
      </c>
      <c r="E4" s="184">
        <v>2.268E8</v>
      </c>
      <c r="F4" s="184">
        <v>2.9484E8</v>
      </c>
      <c r="G4" s="184">
        <v>4.12776E8</v>
      </c>
      <c r="I4" s="185">
        <v>2.0</v>
      </c>
      <c r="J4" s="184">
        <v>1.8466667E7</v>
      </c>
      <c r="K4" s="184">
        <v>6300000.0</v>
      </c>
      <c r="L4" s="184">
        <v>2.4945679E7</v>
      </c>
      <c r="M4" s="184">
        <v>794833.0</v>
      </c>
      <c r="N4" s="184">
        <v>-1.3573845E7</v>
      </c>
      <c r="O4" s="184">
        <v>0.0</v>
      </c>
      <c r="P4" s="184">
        <v>-1.3573845E7</v>
      </c>
    </row>
    <row r="5">
      <c r="A5" s="182">
        <v>3.0</v>
      </c>
      <c r="B5" s="183" t="s">
        <v>431</v>
      </c>
      <c r="C5" s="184">
        <v>1.46E8</v>
      </c>
      <c r="D5" s="184">
        <v>1.09E9</v>
      </c>
      <c r="E5" s="184">
        <v>3.01435E9</v>
      </c>
      <c r="F5" s="184">
        <v>5.61281E9</v>
      </c>
      <c r="G5" s="184">
        <v>1.0017924E10</v>
      </c>
      <c r="I5" s="185">
        <v>3.0</v>
      </c>
      <c r="J5" s="184">
        <v>1.8466667E7</v>
      </c>
      <c r="K5" s="184">
        <v>6300000.0</v>
      </c>
      <c r="L5" s="184">
        <v>2.4945679E7</v>
      </c>
      <c r="M5" s="184">
        <v>794833.0</v>
      </c>
      <c r="N5" s="184">
        <v>-1.3573845E7</v>
      </c>
      <c r="O5" s="184">
        <v>0.0</v>
      </c>
      <c r="P5" s="184">
        <v>-1.3573845E7</v>
      </c>
    </row>
    <row r="6">
      <c r="A6" s="182">
        <v>4.0</v>
      </c>
      <c r="B6" s="186" t="s">
        <v>434</v>
      </c>
      <c r="C6" s="184">
        <v>2.99348145E8</v>
      </c>
      <c r="D6" s="184">
        <v>7.783066E8</v>
      </c>
      <c r="E6" s="184">
        <v>9.68009825E8</v>
      </c>
      <c r="F6" s="184">
        <v>1.217995033E9</v>
      </c>
      <c r="G6" s="184">
        <v>1.684325628E9</v>
      </c>
      <c r="I6" s="185">
        <v>4.0</v>
      </c>
      <c r="J6" s="184">
        <v>1.8466667E7</v>
      </c>
      <c r="K6" s="184">
        <v>6300000.0</v>
      </c>
      <c r="L6" s="184">
        <v>2.4945679E7</v>
      </c>
      <c r="M6" s="184">
        <v>794833.0</v>
      </c>
      <c r="N6" s="184">
        <v>-1.3573845E7</v>
      </c>
      <c r="O6" s="184">
        <v>0.0</v>
      </c>
      <c r="P6" s="184">
        <v>-1.3573845E7</v>
      </c>
    </row>
    <row r="7">
      <c r="A7" s="182">
        <v>5.0</v>
      </c>
      <c r="B7" s="183" t="s">
        <v>437</v>
      </c>
      <c r="C7" s="184">
        <v>9538000.0</v>
      </c>
      <c r="D7" s="184">
        <v>9538000.0</v>
      </c>
      <c r="E7" s="184">
        <v>9538000.0</v>
      </c>
      <c r="F7" s="184">
        <v>9538000.0</v>
      </c>
      <c r="G7" s="184">
        <v>9538000.0</v>
      </c>
      <c r="I7" s="185">
        <v>5.0</v>
      </c>
      <c r="J7" s="184">
        <v>1.8466667E7</v>
      </c>
      <c r="K7" s="184">
        <v>6300000.0</v>
      </c>
      <c r="L7" s="184">
        <v>2.4945679E7</v>
      </c>
      <c r="M7" s="184">
        <v>794833.0</v>
      </c>
      <c r="N7" s="184">
        <v>-1.3573845E7</v>
      </c>
      <c r="O7" s="184">
        <v>0.0</v>
      </c>
      <c r="P7" s="184">
        <v>-1.3573845E7</v>
      </c>
    </row>
    <row r="8">
      <c r="A8" s="182">
        <v>6.0</v>
      </c>
      <c r="B8" s="183" t="s">
        <v>439</v>
      </c>
      <c r="C8" s="188">
        <v>-1.62886145E8</v>
      </c>
      <c r="D8" s="188">
        <v>3.021554E8</v>
      </c>
      <c r="E8" s="188">
        <v>2.036802175E9</v>
      </c>
      <c r="F8" s="188">
        <v>4.385276968E9</v>
      </c>
      <c r="G8" s="188">
        <v>8.324060373E9</v>
      </c>
      <c r="I8" s="185">
        <v>6.0</v>
      </c>
      <c r="J8" s="184">
        <v>1.8466667E7</v>
      </c>
      <c r="K8" s="184">
        <v>6300000.0</v>
      </c>
      <c r="L8" s="184">
        <v>2.4945679E7</v>
      </c>
      <c r="M8" s="184">
        <v>794833.0</v>
      </c>
      <c r="N8" s="184">
        <v>-1.3573845E7</v>
      </c>
      <c r="O8" s="184">
        <v>0.0</v>
      </c>
      <c r="P8" s="184">
        <v>-1.3573845E7</v>
      </c>
    </row>
    <row r="9">
      <c r="A9" s="182">
        <v>7.0</v>
      </c>
      <c r="B9" s="183" t="s">
        <v>441</v>
      </c>
      <c r="C9" s="184">
        <v>0.0</v>
      </c>
      <c r="D9" s="184">
        <v>0.0</v>
      </c>
      <c r="E9" s="184">
        <v>0.0</v>
      </c>
      <c r="F9" s="184">
        <v>0.0</v>
      </c>
      <c r="G9" s="184">
        <v>0.0</v>
      </c>
      <c r="I9" s="185">
        <v>7.0</v>
      </c>
      <c r="J9" s="184">
        <v>1.8466667E7</v>
      </c>
      <c r="K9" s="184">
        <v>6300000.0</v>
      </c>
      <c r="L9" s="184">
        <v>2.4945679E7</v>
      </c>
      <c r="M9" s="184">
        <v>794833.0</v>
      </c>
      <c r="N9" s="184">
        <v>-1.3573845E7</v>
      </c>
      <c r="O9" s="184">
        <v>0.0</v>
      </c>
      <c r="P9" s="184">
        <v>-1.3573845E7</v>
      </c>
    </row>
    <row r="10">
      <c r="A10" s="182">
        <v>8.0</v>
      </c>
      <c r="B10" s="183" t="s">
        <v>443</v>
      </c>
      <c r="C10" s="184">
        <v>0.0</v>
      </c>
      <c r="D10" s="184">
        <v>0.0</v>
      </c>
      <c r="E10" s="184">
        <v>0.0</v>
      </c>
      <c r="F10" s="184">
        <v>0.0</v>
      </c>
      <c r="G10" s="184">
        <v>0.0</v>
      </c>
      <c r="I10" s="185">
        <v>8.0</v>
      </c>
      <c r="J10" s="184">
        <v>1.8466667E7</v>
      </c>
      <c r="K10" s="184">
        <v>6300000.0</v>
      </c>
      <c r="L10" s="184">
        <v>2.4945679E7</v>
      </c>
      <c r="M10" s="184">
        <v>794833.0</v>
      </c>
      <c r="N10" s="184">
        <v>-1.3573845E7</v>
      </c>
      <c r="O10" s="184">
        <v>0.0</v>
      </c>
      <c r="P10" s="184">
        <v>-1.3573845E7</v>
      </c>
    </row>
    <row r="11">
      <c r="A11" s="182">
        <v>9.0</v>
      </c>
      <c r="B11" s="183" t="s">
        <v>445</v>
      </c>
      <c r="C11" s="188">
        <v>-1.62886145E8</v>
      </c>
      <c r="D11" s="188">
        <v>3.021554E8</v>
      </c>
      <c r="E11" s="188">
        <v>2.036802175E9</v>
      </c>
      <c r="F11" s="188">
        <v>4.385276968E9</v>
      </c>
      <c r="G11" s="188">
        <v>8.324060373E9</v>
      </c>
      <c r="I11" s="185">
        <v>9.0</v>
      </c>
      <c r="J11" s="184">
        <v>1.8466667E7</v>
      </c>
      <c r="K11" s="184">
        <v>6300000.0</v>
      </c>
      <c r="L11" s="184">
        <v>2.4945679E7</v>
      </c>
      <c r="M11" s="184">
        <v>794833.0</v>
      </c>
      <c r="N11" s="184">
        <v>-1.3573845E7</v>
      </c>
      <c r="O11" s="184">
        <v>0.0</v>
      </c>
      <c r="P11" s="184">
        <v>-1.3573845E7</v>
      </c>
    </row>
    <row r="12">
      <c r="A12" s="182">
        <v>10.0</v>
      </c>
      <c r="B12" s="183" t="s">
        <v>447</v>
      </c>
      <c r="C12" s="184">
        <v>0.0</v>
      </c>
      <c r="D12" s="184">
        <v>6.043108E7</v>
      </c>
      <c r="E12" s="184">
        <v>4.07360435E8</v>
      </c>
      <c r="F12" s="184">
        <v>8.77055394E8</v>
      </c>
      <c r="G12" s="184">
        <v>1.664812075E9</v>
      </c>
      <c r="I12" s="185">
        <v>10.0</v>
      </c>
      <c r="J12" s="184">
        <v>1.8466667E7</v>
      </c>
      <c r="K12" s="184">
        <v>6300000.0</v>
      </c>
      <c r="L12" s="184">
        <v>2.4945679E7</v>
      </c>
      <c r="M12" s="184">
        <v>794833.0</v>
      </c>
      <c r="N12" s="184">
        <v>-1.3573845E7</v>
      </c>
      <c r="O12" s="184">
        <v>0.0</v>
      </c>
      <c r="P12" s="184">
        <v>-1.3573845E7</v>
      </c>
    </row>
    <row r="13">
      <c r="A13" s="182">
        <v>11.0</v>
      </c>
      <c r="B13" s="183" t="s">
        <v>450</v>
      </c>
      <c r="C13" s="188">
        <v>-1.62886145E8</v>
      </c>
      <c r="D13" s="188">
        <v>2.4172432E8</v>
      </c>
      <c r="E13" s="188">
        <v>1.62944174E9</v>
      </c>
      <c r="F13" s="188">
        <v>3.508221574E9</v>
      </c>
      <c r="G13" s="188">
        <v>6.659248298E9</v>
      </c>
      <c r="I13" s="185">
        <v>11.0</v>
      </c>
      <c r="J13" s="184">
        <v>1.8466667E7</v>
      </c>
      <c r="K13" s="184">
        <v>6300000.0</v>
      </c>
      <c r="L13" s="184">
        <v>2.4945679E7</v>
      </c>
      <c r="M13" s="184">
        <v>794833.0</v>
      </c>
      <c r="N13" s="184">
        <v>-1.3573845E7</v>
      </c>
      <c r="O13" s="184">
        <v>0.0</v>
      </c>
      <c r="P13" s="184">
        <v>-1.3573845E7</v>
      </c>
    </row>
    <row r="14">
      <c r="A14" s="189"/>
      <c r="B14" s="189"/>
      <c r="C14" s="189"/>
      <c r="D14" s="189"/>
      <c r="E14" s="189"/>
      <c r="F14" s="189"/>
      <c r="G14" s="189"/>
      <c r="I14" s="185">
        <v>12.0</v>
      </c>
      <c r="J14" s="184">
        <v>1.8466667E7</v>
      </c>
      <c r="K14" s="184">
        <v>6300000.0</v>
      </c>
      <c r="L14" s="184">
        <v>2.4945679E7</v>
      </c>
      <c r="M14" s="184">
        <v>794833.0</v>
      </c>
      <c r="N14" s="184">
        <v>-1.3573845E7</v>
      </c>
      <c r="O14" s="184">
        <v>0.0</v>
      </c>
      <c r="P14" s="184">
        <v>-1.3573845E7</v>
      </c>
    </row>
    <row r="15">
      <c r="A15" s="172" t="s">
        <v>453</v>
      </c>
      <c r="B15" s="4"/>
      <c r="C15" s="4"/>
      <c r="D15" s="4"/>
      <c r="E15" s="4"/>
      <c r="F15" s="4"/>
      <c r="G15" s="8"/>
      <c r="I15" s="180" t="s">
        <v>454</v>
      </c>
      <c r="J15" s="188">
        <v>2.216E8</v>
      </c>
      <c r="K15" s="188">
        <v>7.56E7</v>
      </c>
      <c r="L15" s="188">
        <v>2.99348145E8</v>
      </c>
      <c r="M15" s="188">
        <v>9538000.0</v>
      </c>
      <c r="N15" s="188">
        <v>-1.62886145E8</v>
      </c>
      <c r="O15" s="188">
        <v>0.0</v>
      </c>
      <c r="P15" s="188">
        <v>-1.62886145E8</v>
      </c>
    </row>
    <row r="16">
      <c r="A16" s="177" t="s">
        <v>403</v>
      </c>
      <c r="B16" s="177" t="s">
        <v>455</v>
      </c>
      <c r="C16" s="177" t="s">
        <v>456</v>
      </c>
      <c r="D16" s="177" t="s">
        <v>457</v>
      </c>
      <c r="E16" s="177" t="s">
        <v>458</v>
      </c>
      <c r="F16" s="177" t="s">
        <v>406</v>
      </c>
      <c r="G16" s="177" t="s">
        <v>407</v>
      </c>
      <c r="I16" s="193"/>
      <c r="J16" s="193"/>
      <c r="K16" s="193"/>
      <c r="L16" s="193"/>
      <c r="M16" s="193"/>
      <c r="N16" s="193"/>
      <c r="O16" s="193"/>
      <c r="P16" s="193"/>
    </row>
    <row r="17">
      <c r="A17" s="194">
        <v>1.0</v>
      </c>
      <c r="B17" s="195" t="s">
        <v>459</v>
      </c>
      <c r="C17" s="196">
        <f t="shared" ref="C17:G17" si="1">(C3-C4)/C3</f>
        <v>0.6588447653</v>
      </c>
      <c r="D17" s="196">
        <f t="shared" si="1"/>
        <v>0.86645469</v>
      </c>
      <c r="E17" s="196">
        <f t="shared" si="1"/>
        <v>0.9300248369</v>
      </c>
      <c r="F17" s="196">
        <f t="shared" si="1"/>
        <v>0.9500918301</v>
      </c>
      <c r="G17" s="196">
        <f t="shared" si="1"/>
        <v>0.960426817</v>
      </c>
      <c r="I17" s="193"/>
      <c r="J17" s="193"/>
      <c r="K17" s="193"/>
      <c r="L17" s="193"/>
      <c r="M17" s="193"/>
      <c r="N17" s="193"/>
      <c r="O17" s="193"/>
      <c r="P17" s="193"/>
    </row>
    <row r="18">
      <c r="A18" s="194">
        <v>2.0</v>
      </c>
      <c r="B18" s="195" t="s">
        <v>460</v>
      </c>
      <c r="C18" s="196">
        <f t="shared" ref="C18:G18" si="2">C8/C3</f>
        <v>-0.7350457807</v>
      </c>
      <c r="D18" s="196">
        <f t="shared" si="2"/>
        <v>0.2401871224</v>
      </c>
      <c r="E18" s="196">
        <f t="shared" si="2"/>
        <v>0.6284195964</v>
      </c>
      <c r="F18" s="196">
        <f t="shared" si="2"/>
        <v>0.7423048028</v>
      </c>
      <c r="G18" s="196">
        <f t="shared" si="2"/>
        <v>0.7980346835</v>
      </c>
      <c r="I18" s="175" t="s">
        <v>461</v>
      </c>
      <c r="J18" s="4"/>
      <c r="K18" s="4"/>
      <c r="L18" s="4"/>
      <c r="M18" s="4"/>
      <c r="N18" s="4"/>
      <c r="O18" s="4"/>
      <c r="P18" s="8"/>
    </row>
    <row r="19">
      <c r="A19" s="194">
        <v>3.0</v>
      </c>
      <c r="B19" s="195" t="s">
        <v>462</v>
      </c>
      <c r="C19" s="196">
        <f t="shared" ref="C19:G19" si="3">C13/C3</f>
        <v>-0.7350457807</v>
      </c>
      <c r="D19" s="196">
        <f t="shared" si="3"/>
        <v>0.1921496979</v>
      </c>
      <c r="E19" s="196">
        <f t="shared" si="3"/>
        <v>0.5027356772</v>
      </c>
      <c r="F19" s="196">
        <f t="shared" si="3"/>
        <v>0.5938438421</v>
      </c>
      <c r="G19" s="196">
        <f t="shared" si="3"/>
        <v>0.6384277467</v>
      </c>
      <c r="I19" s="180" t="s">
        <v>264</v>
      </c>
      <c r="J19" s="180" t="s">
        <v>409</v>
      </c>
      <c r="K19" s="180" t="s">
        <v>410</v>
      </c>
      <c r="L19" s="180" t="s">
        <v>411</v>
      </c>
      <c r="M19" s="180" t="s">
        <v>412</v>
      </c>
      <c r="N19" s="180" t="s">
        <v>414</v>
      </c>
      <c r="O19" s="180" t="s">
        <v>415</v>
      </c>
      <c r="P19" s="180" t="s">
        <v>416</v>
      </c>
    </row>
    <row r="20">
      <c r="A20" s="194">
        <v>4.0</v>
      </c>
      <c r="B20" s="195" t="s">
        <v>463</v>
      </c>
      <c r="C20" s="196">
        <f t="shared" ref="C20:G20" si="4">C4/C3</f>
        <v>0.3411552347</v>
      </c>
      <c r="D20" s="196">
        <f t="shared" si="4"/>
        <v>0.13354531</v>
      </c>
      <c r="E20" s="196">
        <f t="shared" si="4"/>
        <v>0.06997516314</v>
      </c>
      <c r="F20" s="196">
        <f t="shared" si="4"/>
        <v>0.04990816992</v>
      </c>
      <c r="G20" s="196">
        <f t="shared" si="4"/>
        <v>0.03957318301</v>
      </c>
      <c r="I20" s="185">
        <v>1.0</v>
      </c>
      <c r="J20" s="184">
        <v>1.05658333E8</v>
      </c>
      <c r="K20" s="184">
        <v>1.4E7</v>
      </c>
      <c r="L20" s="184">
        <v>6.4858883E7</v>
      </c>
      <c r="M20" s="184">
        <v>794833.0</v>
      </c>
      <c r="N20" s="184">
        <v>2.6004617E7</v>
      </c>
      <c r="O20" s="184">
        <v>5200923.0</v>
      </c>
      <c r="P20" s="184">
        <v>2.0803693E7</v>
      </c>
    </row>
    <row r="21">
      <c r="A21" s="194">
        <v>5.0</v>
      </c>
      <c r="B21" s="195" t="s">
        <v>464</v>
      </c>
      <c r="C21" s="196">
        <f t="shared" ref="C21:G21" si="5">C6/C3</f>
        <v>1.35084903</v>
      </c>
      <c r="D21" s="196">
        <f t="shared" si="5"/>
        <v>0.6186856916</v>
      </c>
      <c r="E21" s="196">
        <f t="shared" si="5"/>
        <v>0.2986624578</v>
      </c>
      <c r="F21" s="196">
        <f t="shared" si="5"/>
        <v>0.2061725107</v>
      </c>
      <c r="G21" s="196">
        <f t="shared" si="5"/>
        <v>0.1614777175</v>
      </c>
      <c r="I21" s="185">
        <v>2.0</v>
      </c>
      <c r="J21" s="184">
        <v>1.05658333E8</v>
      </c>
      <c r="K21" s="184">
        <v>1.4E7</v>
      </c>
      <c r="L21" s="184">
        <v>6.4858883E7</v>
      </c>
      <c r="M21" s="184">
        <v>794833.0</v>
      </c>
      <c r="N21" s="184">
        <v>2.6004617E7</v>
      </c>
      <c r="O21" s="184">
        <v>5200923.0</v>
      </c>
      <c r="P21" s="184">
        <v>2.0803693E7</v>
      </c>
    </row>
    <row r="22">
      <c r="I22" s="185">
        <v>3.0</v>
      </c>
      <c r="J22" s="184">
        <v>1.05658333E8</v>
      </c>
      <c r="K22" s="184">
        <v>1.4E7</v>
      </c>
      <c r="L22" s="184">
        <v>6.4858883E7</v>
      </c>
      <c r="M22" s="184">
        <v>794833.0</v>
      </c>
      <c r="N22" s="184">
        <v>2.6004617E7</v>
      </c>
      <c r="O22" s="184">
        <v>5200923.0</v>
      </c>
      <c r="P22" s="184">
        <v>2.0803693E7</v>
      </c>
    </row>
    <row r="23">
      <c r="I23" s="185">
        <v>4.0</v>
      </c>
      <c r="J23" s="184">
        <v>1.05658333E8</v>
      </c>
      <c r="K23" s="184">
        <v>1.4E7</v>
      </c>
      <c r="L23" s="184">
        <v>6.4858883E7</v>
      </c>
      <c r="M23" s="184">
        <v>794833.0</v>
      </c>
      <c r="N23" s="184">
        <v>2.6004617E7</v>
      </c>
      <c r="O23" s="184">
        <v>5200923.0</v>
      </c>
      <c r="P23" s="184">
        <v>2.0803693E7</v>
      </c>
    </row>
    <row r="24">
      <c r="I24" s="185">
        <v>5.0</v>
      </c>
      <c r="J24" s="184">
        <v>1.05658333E8</v>
      </c>
      <c r="K24" s="184">
        <v>1.4E7</v>
      </c>
      <c r="L24" s="184">
        <v>6.4858883E7</v>
      </c>
      <c r="M24" s="184">
        <v>794833.0</v>
      </c>
      <c r="N24" s="184">
        <v>2.6004617E7</v>
      </c>
      <c r="O24" s="184">
        <v>5200923.0</v>
      </c>
      <c r="P24" s="184">
        <v>2.0803693E7</v>
      </c>
    </row>
    <row r="25">
      <c r="D25" s="197"/>
      <c r="I25" s="185">
        <v>6.0</v>
      </c>
      <c r="J25" s="184">
        <v>1.05658333E8</v>
      </c>
      <c r="K25" s="184">
        <v>1.4E7</v>
      </c>
      <c r="L25" s="184">
        <v>6.4858883E7</v>
      </c>
      <c r="M25" s="184">
        <v>794833.0</v>
      </c>
      <c r="N25" s="184">
        <v>2.6004617E7</v>
      </c>
      <c r="O25" s="184">
        <v>5200923.0</v>
      </c>
      <c r="P25" s="184">
        <v>2.0803693E7</v>
      </c>
    </row>
    <row r="26">
      <c r="I26" s="185">
        <v>7.0</v>
      </c>
      <c r="J26" s="184">
        <v>1.05658333E8</v>
      </c>
      <c r="K26" s="184">
        <v>1.4E7</v>
      </c>
      <c r="L26" s="184">
        <v>6.4858883E7</v>
      </c>
      <c r="M26" s="184">
        <v>794833.0</v>
      </c>
      <c r="N26" s="184">
        <v>2.6004617E7</v>
      </c>
      <c r="O26" s="184">
        <v>5200923.0</v>
      </c>
      <c r="P26" s="184">
        <v>2.0803693E7</v>
      </c>
    </row>
    <row r="27">
      <c r="I27" s="185">
        <v>8.0</v>
      </c>
      <c r="J27" s="184">
        <v>1.05658333E8</v>
      </c>
      <c r="K27" s="184">
        <v>1.4E7</v>
      </c>
      <c r="L27" s="184">
        <v>6.4858883E7</v>
      </c>
      <c r="M27" s="184">
        <v>794833.0</v>
      </c>
      <c r="N27" s="184">
        <v>2.6004617E7</v>
      </c>
      <c r="O27" s="184">
        <v>5200923.0</v>
      </c>
      <c r="P27" s="184">
        <v>2.0803693E7</v>
      </c>
    </row>
    <row r="28">
      <c r="I28" s="185">
        <v>9.0</v>
      </c>
      <c r="J28" s="184">
        <v>1.05658333E8</v>
      </c>
      <c r="K28" s="184">
        <v>1.4E7</v>
      </c>
      <c r="L28" s="184">
        <v>6.4858883E7</v>
      </c>
      <c r="M28" s="184">
        <v>794833.0</v>
      </c>
      <c r="N28" s="184">
        <v>2.6004617E7</v>
      </c>
      <c r="O28" s="184">
        <v>5200923.0</v>
      </c>
      <c r="P28" s="184">
        <v>2.0803693E7</v>
      </c>
    </row>
    <row r="29">
      <c r="I29" s="185">
        <v>10.0</v>
      </c>
      <c r="J29" s="184">
        <v>1.05658333E8</v>
      </c>
      <c r="K29" s="184">
        <v>1.4E7</v>
      </c>
      <c r="L29" s="184">
        <v>6.4858883E7</v>
      </c>
      <c r="M29" s="184">
        <v>794833.0</v>
      </c>
      <c r="N29" s="184">
        <v>2.6004617E7</v>
      </c>
      <c r="O29" s="184">
        <v>5200923.0</v>
      </c>
      <c r="P29" s="184">
        <v>2.0803693E7</v>
      </c>
    </row>
    <row r="30">
      <c r="I30" s="185">
        <v>11.0</v>
      </c>
      <c r="J30" s="184">
        <v>1.05658333E8</v>
      </c>
      <c r="K30" s="184">
        <v>1.4E7</v>
      </c>
      <c r="L30" s="184">
        <v>6.4858883E7</v>
      </c>
      <c r="M30" s="184">
        <v>794833.0</v>
      </c>
      <c r="N30" s="184">
        <v>2.6004617E7</v>
      </c>
      <c r="O30" s="184">
        <v>5200923.0</v>
      </c>
      <c r="P30" s="184">
        <v>2.0803693E7</v>
      </c>
    </row>
    <row r="31">
      <c r="I31" s="185">
        <v>12.0</v>
      </c>
      <c r="J31" s="184">
        <v>1.05658333E8</v>
      </c>
      <c r="K31" s="184">
        <v>1.4E7</v>
      </c>
      <c r="L31" s="184">
        <v>6.4858883E7</v>
      </c>
      <c r="M31" s="184">
        <v>794833.0</v>
      </c>
      <c r="N31" s="184">
        <v>2.6004617E7</v>
      </c>
      <c r="O31" s="184">
        <v>5200923.0</v>
      </c>
      <c r="P31" s="184">
        <v>2.0803693E7</v>
      </c>
    </row>
    <row r="32">
      <c r="I32" s="180" t="s">
        <v>465</v>
      </c>
      <c r="J32" s="188">
        <v>1.2679E9</v>
      </c>
      <c r="K32" s="188">
        <v>1.68E8</v>
      </c>
      <c r="L32" s="188">
        <v>7.783066E8</v>
      </c>
      <c r="M32" s="188">
        <v>9538000.0</v>
      </c>
      <c r="N32" s="188">
        <v>3.120554E8</v>
      </c>
      <c r="O32" s="188">
        <v>6.241108E7</v>
      </c>
      <c r="P32" s="188">
        <v>2.4964432E8</v>
      </c>
    </row>
    <row r="33">
      <c r="I33" s="193"/>
      <c r="J33" s="193"/>
      <c r="K33" s="193"/>
      <c r="L33" s="193"/>
      <c r="M33" s="193"/>
      <c r="N33" s="193"/>
      <c r="O33" s="193"/>
      <c r="P33" s="193"/>
    </row>
    <row r="34">
      <c r="I34" s="193"/>
      <c r="J34" s="193"/>
      <c r="K34" s="193"/>
      <c r="L34" s="193"/>
      <c r="M34" s="193"/>
      <c r="N34" s="193"/>
      <c r="O34" s="193"/>
      <c r="P34" s="193"/>
    </row>
    <row r="35">
      <c r="I35" s="175" t="s">
        <v>466</v>
      </c>
      <c r="J35" s="4"/>
      <c r="K35" s="4"/>
      <c r="L35" s="4"/>
      <c r="M35" s="4"/>
      <c r="N35" s="4"/>
      <c r="O35" s="4"/>
      <c r="P35" s="8"/>
    </row>
    <row r="36">
      <c r="I36" s="180" t="s">
        <v>264</v>
      </c>
      <c r="J36" s="180" t="s">
        <v>409</v>
      </c>
      <c r="K36" s="180" t="s">
        <v>410</v>
      </c>
      <c r="L36" s="180" t="s">
        <v>411</v>
      </c>
      <c r="M36" s="180" t="s">
        <v>412</v>
      </c>
      <c r="N36" s="180" t="s">
        <v>414</v>
      </c>
      <c r="O36" s="180" t="s">
        <v>415</v>
      </c>
      <c r="P36" s="180" t="s">
        <v>416</v>
      </c>
    </row>
    <row r="37">
      <c r="I37" s="185">
        <v>1.0</v>
      </c>
      <c r="J37" s="184">
        <v>2.70597917E8</v>
      </c>
      <c r="K37" s="184">
        <v>1.96E7</v>
      </c>
      <c r="L37" s="184">
        <v>8.545347E7</v>
      </c>
      <c r="M37" s="184">
        <v>794833.0</v>
      </c>
      <c r="N37" s="184">
        <v>1.64749614E8</v>
      </c>
      <c r="O37" s="184">
        <v>3.2949923E7</v>
      </c>
      <c r="P37" s="184">
        <v>1.31799691E8</v>
      </c>
    </row>
    <row r="38">
      <c r="I38" s="185">
        <v>2.0</v>
      </c>
      <c r="J38" s="184">
        <v>2.70597917E8</v>
      </c>
      <c r="K38" s="184">
        <v>1.96E7</v>
      </c>
      <c r="L38" s="184">
        <v>8.545347E7</v>
      </c>
      <c r="M38" s="184">
        <v>794833.0</v>
      </c>
      <c r="N38" s="184">
        <v>1.64749614E8</v>
      </c>
      <c r="O38" s="184">
        <v>3.2949923E7</v>
      </c>
      <c r="P38" s="184">
        <v>1.31799691E8</v>
      </c>
    </row>
    <row r="39">
      <c r="I39" s="185">
        <v>3.0</v>
      </c>
      <c r="J39" s="184">
        <v>2.70597917E8</v>
      </c>
      <c r="K39" s="184">
        <v>1.96E7</v>
      </c>
      <c r="L39" s="184">
        <v>8.545347E7</v>
      </c>
      <c r="M39" s="184">
        <v>794833.0</v>
      </c>
      <c r="N39" s="184">
        <v>1.64749614E8</v>
      </c>
      <c r="O39" s="184">
        <v>3.2949923E7</v>
      </c>
      <c r="P39" s="184">
        <v>1.31799691E8</v>
      </c>
    </row>
    <row r="40">
      <c r="I40" s="185">
        <v>4.0</v>
      </c>
      <c r="J40" s="184">
        <v>2.70597917E8</v>
      </c>
      <c r="K40" s="184">
        <v>1.96E7</v>
      </c>
      <c r="L40" s="184">
        <v>8.545347E7</v>
      </c>
      <c r="M40" s="184">
        <v>794833.0</v>
      </c>
      <c r="N40" s="184">
        <v>1.64749614E8</v>
      </c>
      <c r="O40" s="184">
        <v>3.2949923E7</v>
      </c>
      <c r="P40" s="184">
        <v>1.31799691E8</v>
      </c>
    </row>
    <row r="41">
      <c r="I41" s="185">
        <v>5.0</v>
      </c>
      <c r="J41" s="184">
        <v>2.70597917E8</v>
      </c>
      <c r="K41" s="184">
        <v>1.96E7</v>
      </c>
      <c r="L41" s="184">
        <v>8.545347E7</v>
      </c>
      <c r="M41" s="184">
        <v>794833.0</v>
      </c>
      <c r="N41" s="184">
        <v>1.64749614E8</v>
      </c>
      <c r="O41" s="184">
        <v>3.2949923E7</v>
      </c>
      <c r="P41" s="184">
        <v>1.31799691E8</v>
      </c>
    </row>
    <row r="42">
      <c r="I42" s="185">
        <v>6.0</v>
      </c>
      <c r="J42" s="184">
        <v>2.70597917E8</v>
      </c>
      <c r="K42" s="184">
        <v>1.96E7</v>
      </c>
      <c r="L42" s="184">
        <v>8.545347E7</v>
      </c>
      <c r="M42" s="184">
        <v>794833.0</v>
      </c>
      <c r="N42" s="184">
        <v>1.64749614E8</v>
      </c>
      <c r="O42" s="184">
        <v>3.2949923E7</v>
      </c>
      <c r="P42" s="184">
        <v>1.31799691E8</v>
      </c>
    </row>
    <row r="43">
      <c r="I43" s="185">
        <v>7.0</v>
      </c>
      <c r="J43" s="184">
        <v>2.70597917E8</v>
      </c>
      <c r="K43" s="184">
        <v>1.96E7</v>
      </c>
      <c r="L43" s="184">
        <v>8.545347E7</v>
      </c>
      <c r="M43" s="184">
        <v>794833.0</v>
      </c>
      <c r="N43" s="184">
        <v>1.64749614E8</v>
      </c>
      <c r="O43" s="184">
        <v>3.2949923E7</v>
      </c>
      <c r="P43" s="184">
        <v>1.31799691E8</v>
      </c>
    </row>
    <row r="44">
      <c r="I44" s="185">
        <v>8.0</v>
      </c>
      <c r="J44" s="184">
        <v>2.70597917E8</v>
      </c>
      <c r="K44" s="184">
        <v>1.96E7</v>
      </c>
      <c r="L44" s="184">
        <v>8.545347E7</v>
      </c>
      <c r="M44" s="184">
        <v>794833.0</v>
      </c>
      <c r="N44" s="184">
        <v>1.64749614E8</v>
      </c>
      <c r="O44" s="184">
        <v>3.2949923E7</v>
      </c>
      <c r="P44" s="184">
        <v>1.31799691E8</v>
      </c>
    </row>
    <row r="45">
      <c r="I45" s="185">
        <v>9.0</v>
      </c>
      <c r="J45" s="184">
        <v>2.70597917E8</v>
      </c>
      <c r="K45" s="184">
        <v>1.96E7</v>
      </c>
      <c r="L45" s="184">
        <v>8.545347E7</v>
      </c>
      <c r="M45" s="184">
        <v>794833.0</v>
      </c>
      <c r="N45" s="184">
        <v>1.64749614E8</v>
      </c>
      <c r="O45" s="184">
        <v>3.2949923E7</v>
      </c>
      <c r="P45" s="184">
        <v>1.31799691E8</v>
      </c>
    </row>
    <row r="46">
      <c r="I46" s="185">
        <v>10.0</v>
      </c>
      <c r="J46" s="184">
        <v>2.70597917E8</v>
      </c>
      <c r="K46" s="184">
        <v>1.96E7</v>
      </c>
      <c r="L46" s="184">
        <v>8.545347E7</v>
      </c>
      <c r="M46" s="184">
        <v>794833.0</v>
      </c>
      <c r="N46" s="184">
        <v>1.64749614E8</v>
      </c>
      <c r="O46" s="184">
        <v>3.2949923E7</v>
      </c>
      <c r="P46" s="184">
        <v>1.31799691E8</v>
      </c>
    </row>
    <row r="47">
      <c r="I47" s="185">
        <v>11.0</v>
      </c>
      <c r="J47" s="184">
        <v>2.70597917E8</v>
      </c>
      <c r="K47" s="184">
        <v>1.96E7</v>
      </c>
      <c r="L47" s="184">
        <v>8.545347E7</v>
      </c>
      <c r="M47" s="184">
        <v>794833.0</v>
      </c>
      <c r="N47" s="184">
        <v>1.64749614E8</v>
      </c>
      <c r="O47" s="184">
        <v>3.2949923E7</v>
      </c>
      <c r="P47" s="184">
        <v>1.31799691E8</v>
      </c>
    </row>
    <row r="48">
      <c r="I48" s="185">
        <v>12.0</v>
      </c>
      <c r="J48" s="184">
        <v>2.70597917E8</v>
      </c>
      <c r="K48" s="184">
        <v>1.96E7</v>
      </c>
      <c r="L48" s="184">
        <v>8.545347E7</v>
      </c>
      <c r="M48" s="184">
        <v>794833.0</v>
      </c>
      <c r="N48" s="184">
        <v>1.64749614E8</v>
      </c>
      <c r="O48" s="184">
        <v>3.2949923E7</v>
      </c>
      <c r="P48" s="184">
        <v>1.31799691E8</v>
      </c>
    </row>
    <row r="49">
      <c r="I49" s="180" t="s">
        <v>467</v>
      </c>
      <c r="J49" s="188">
        <v>3.247175E9</v>
      </c>
      <c r="K49" s="188">
        <v>2.352E8</v>
      </c>
      <c r="L49" s="188">
        <v>1.025441635E9</v>
      </c>
      <c r="M49" s="188">
        <v>9538000.0</v>
      </c>
      <c r="N49" s="188">
        <v>1.976995365E9</v>
      </c>
      <c r="O49" s="188">
        <v>3.95399073E8</v>
      </c>
      <c r="P49" s="188">
        <v>1.581596292E9</v>
      </c>
    </row>
    <row r="50">
      <c r="I50" s="193"/>
      <c r="J50" s="193"/>
      <c r="K50" s="193"/>
      <c r="L50" s="193"/>
      <c r="M50" s="193"/>
      <c r="N50" s="193"/>
      <c r="O50" s="193"/>
      <c r="P50" s="193"/>
    </row>
    <row r="51">
      <c r="I51" s="193"/>
      <c r="J51" s="193"/>
      <c r="K51" s="193"/>
      <c r="L51" s="193"/>
      <c r="M51" s="193"/>
      <c r="N51" s="193"/>
      <c r="O51" s="193"/>
      <c r="P51" s="193"/>
    </row>
    <row r="52">
      <c r="I52" s="175" t="s">
        <v>468</v>
      </c>
      <c r="J52" s="4"/>
      <c r="K52" s="4"/>
      <c r="L52" s="4"/>
      <c r="M52" s="4"/>
      <c r="N52" s="4"/>
      <c r="O52" s="4"/>
      <c r="P52" s="8"/>
    </row>
    <row r="53">
      <c r="I53" s="180" t="s">
        <v>264</v>
      </c>
      <c r="J53" s="180" t="s">
        <v>409</v>
      </c>
      <c r="K53" s="180" t="s">
        <v>410</v>
      </c>
      <c r="L53" s="180" t="s">
        <v>411</v>
      </c>
      <c r="M53" s="180" t="s">
        <v>412</v>
      </c>
      <c r="N53" s="180" t="s">
        <v>414</v>
      </c>
      <c r="O53" s="180" t="s">
        <v>415</v>
      </c>
      <c r="P53" s="180" t="s">
        <v>416</v>
      </c>
    </row>
    <row r="54">
      <c r="I54" s="185">
        <v>1.0</v>
      </c>
      <c r="J54" s="184">
        <v>4.95991667E8</v>
      </c>
      <c r="K54" s="184">
        <v>2.646E7</v>
      </c>
      <c r="L54" s="184">
        <v>1.12739696E8</v>
      </c>
      <c r="M54" s="184">
        <v>794833.0</v>
      </c>
      <c r="N54" s="184">
        <v>3.55997137E8</v>
      </c>
      <c r="O54" s="184">
        <v>7.1199427E7</v>
      </c>
      <c r="P54" s="184">
        <v>2.8479771E8</v>
      </c>
    </row>
    <row r="55">
      <c r="I55" s="185">
        <v>2.0</v>
      </c>
      <c r="J55" s="184">
        <v>4.95991667E8</v>
      </c>
      <c r="K55" s="184">
        <v>2.646E7</v>
      </c>
      <c r="L55" s="184">
        <v>1.12739696E8</v>
      </c>
      <c r="M55" s="184">
        <v>794833.0</v>
      </c>
      <c r="N55" s="184">
        <v>3.55997137E8</v>
      </c>
      <c r="O55" s="184">
        <v>7.1199427E7</v>
      </c>
      <c r="P55" s="184">
        <v>2.8479771E8</v>
      </c>
    </row>
    <row r="56">
      <c r="I56" s="185">
        <v>3.0</v>
      </c>
      <c r="J56" s="184">
        <v>4.95991667E8</v>
      </c>
      <c r="K56" s="184">
        <v>2.646E7</v>
      </c>
      <c r="L56" s="184">
        <v>1.12739696E8</v>
      </c>
      <c r="M56" s="184">
        <v>794833.0</v>
      </c>
      <c r="N56" s="184">
        <v>3.55997137E8</v>
      </c>
      <c r="O56" s="184">
        <v>7.1199427E7</v>
      </c>
      <c r="P56" s="184">
        <v>2.8479771E8</v>
      </c>
    </row>
    <row r="57">
      <c r="I57" s="185">
        <v>4.0</v>
      </c>
      <c r="J57" s="184">
        <v>4.95991667E8</v>
      </c>
      <c r="K57" s="184">
        <v>2.646E7</v>
      </c>
      <c r="L57" s="184">
        <v>1.12739696E8</v>
      </c>
      <c r="M57" s="184">
        <v>794833.0</v>
      </c>
      <c r="N57" s="184">
        <v>3.55997137E8</v>
      </c>
      <c r="O57" s="184">
        <v>7.1199427E7</v>
      </c>
      <c r="P57" s="184">
        <v>2.8479771E8</v>
      </c>
    </row>
    <row r="58">
      <c r="I58" s="185">
        <v>5.0</v>
      </c>
      <c r="J58" s="184">
        <v>4.95991667E8</v>
      </c>
      <c r="K58" s="184">
        <v>2.646E7</v>
      </c>
      <c r="L58" s="184">
        <v>1.12739696E8</v>
      </c>
      <c r="M58" s="184">
        <v>794833.0</v>
      </c>
      <c r="N58" s="184">
        <v>3.55997137E8</v>
      </c>
      <c r="O58" s="184">
        <v>7.1199427E7</v>
      </c>
      <c r="P58" s="184">
        <v>2.8479771E8</v>
      </c>
    </row>
    <row r="59">
      <c r="I59" s="185">
        <v>6.0</v>
      </c>
      <c r="J59" s="184">
        <v>4.95991667E8</v>
      </c>
      <c r="K59" s="184">
        <v>2.646E7</v>
      </c>
      <c r="L59" s="184">
        <v>1.12739696E8</v>
      </c>
      <c r="M59" s="184">
        <v>794833.0</v>
      </c>
      <c r="N59" s="184">
        <v>3.55997137E8</v>
      </c>
      <c r="O59" s="184">
        <v>7.1199427E7</v>
      </c>
      <c r="P59" s="184">
        <v>2.8479771E8</v>
      </c>
    </row>
    <row r="60">
      <c r="I60" s="185">
        <v>7.0</v>
      </c>
      <c r="J60" s="184">
        <v>4.95991667E8</v>
      </c>
      <c r="K60" s="184">
        <v>2.646E7</v>
      </c>
      <c r="L60" s="184">
        <v>1.12739696E8</v>
      </c>
      <c r="M60" s="184">
        <v>794833.0</v>
      </c>
      <c r="N60" s="184">
        <v>3.55997137E8</v>
      </c>
      <c r="O60" s="184">
        <v>7.1199427E7</v>
      </c>
      <c r="P60" s="184">
        <v>2.8479771E8</v>
      </c>
    </row>
    <row r="61">
      <c r="I61" s="185">
        <v>8.0</v>
      </c>
      <c r="J61" s="184">
        <v>4.95991667E8</v>
      </c>
      <c r="K61" s="184">
        <v>2.646E7</v>
      </c>
      <c r="L61" s="184">
        <v>1.12739696E8</v>
      </c>
      <c r="M61" s="184">
        <v>794833.0</v>
      </c>
      <c r="N61" s="184">
        <v>3.55997137E8</v>
      </c>
      <c r="O61" s="184">
        <v>7.1199427E7</v>
      </c>
      <c r="P61" s="184">
        <v>2.8479771E8</v>
      </c>
    </row>
    <row r="62">
      <c r="I62" s="185">
        <v>9.0</v>
      </c>
      <c r="J62" s="184">
        <v>4.95991667E8</v>
      </c>
      <c r="K62" s="184">
        <v>2.646E7</v>
      </c>
      <c r="L62" s="184">
        <v>1.12739696E8</v>
      </c>
      <c r="M62" s="184">
        <v>794833.0</v>
      </c>
      <c r="N62" s="184">
        <v>3.55997137E8</v>
      </c>
      <c r="O62" s="184">
        <v>7.1199427E7</v>
      </c>
      <c r="P62" s="184">
        <v>2.8479771E8</v>
      </c>
    </row>
    <row r="63">
      <c r="I63" s="185">
        <v>10.0</v>
      </c>
      <c r="J63" s="184">
        <v>4.95991667E8</v>
      </c>
      <c r="K63" s="184">
        <v>2.646E7</v>
      </c>
      <c r="L63" s="184">
        <v>1.12739696E8</v>
      </c>
      <c r="M63" s="184">
        <v>794833.0</v>
      </c>
      <c r="N63" s="184">
        <v>3.55997137E8</v>
      </c>
      <c r="O63" s="184">
        <v>7.1199427E7</v>
      </c>
      <c r="P63" s="184">
        <v>2.8479771E8</v>
      </c>
    </row>
    <row r="64">
      <c r="I64" s="185">
        <v>11.0</v>
      </c>
      <c r="J64" s="184">
        <v>4.95991667E8</v>
      </c>
      <c r="K64" s="184">
        <v>2.646E7</v>
      </c>
      <c r="L64" s="184">
        <v>1.12739696E8</v>
      </c>
      <c r="M64" s="184">
        <v>794833.0</v>
      </c>
      <c r="N64" s="184">
        <v>3.55997137E8</v>
      </c>
      <c r="O64" s="184">
        <v>7.1199427E7</v>
      </c>
      <c r="P64" s="184">
        <v>2.8479771E8</v>
      </c>
    </row>
    <row r="65">
      <c r="I65" s="185">
        <v>12.0</v>
      </c>
      <c r="J65" s="184">
        <v>4.95991667E8</v>
      </c>
      <c r="K65" s="184">
        <v>2.646E7</v>
      </c>
      <c r="L65" s="184">
        <v>1.12739696E8</v>
      </c>
      <c r="M65" s="184">
        <v>794833.0</v>
      </c>
      <c r="N65" s="184">
        <v>3.55997137E8</v>
      </c>
      <c r="O65" s="184">
        <v>7.1199427E7</v>
      </c>
      <c r="P65" s="184">
        <v>2.8479771E8</v>
      </c>
    </row>
    <row r="66">
      <c r="I66" s="180" t="s">
        <v>469</v>
      </c>
      <c r="J66" s="188">
        <v>5.9519E9</v>
      </c>
      <c r="K66" s="188">
        <v>3.1752E8</v>
      </c>
      <c r="L66" s="188">
        <v>1.352876351E9</v>
      </c>
      <c r="M66" s="188">
        <v>9538000.0</v>
      </c>
      <c r="N66" s="188">
        <v>4.271965649E9</v>
      </c>
      <c r="O66" s="188">
        <v>8.5439313E8</v>
      </c>
      <c r="P66" s="188">
        <v>3.417572519E9</v>
      </c>
    </row>
    <row r="67">
      <c r="I67" s="193"/>
      <c r="J67" s="193"/>
      <c r="K67" s="193"/>
      <c r="L67" s="193"/>
      <c r="M67" s="193"/>
      <c r="N67" s="193"/>
      <c r="O67" s="193"/>
      <c r="P67" s="193"/>
    </row>
    <row r="68">
      <c r="I68" s="193"/>
      <c r="J68" s="193"/>
      <c r="K68" s="193"/>
      <c r="L68" s="193"/>
      <c r="M68" s="193"/>
      <c r="N68" s="193"/>
      <c r="O68" s="193"/>
      <c r="P68" s="193"/>
    </row>
    <row r="69">
      <c r="I69" s="175" t="s">
        <v>470</v>
      </c>
      <c r="J69" s="4"/>
      <c r="K69" s="4"/>
      <c r="L69" s="4"/>
      <c r="M69" s="4"/>
      <c r="N69" s="4"/>
      <c r="O69" s="4"/>
      <c r="P69" s="8"/>
    </row>
    <row r="70">
      <c r="I70" s="180" t="s">
        <v>264</v>
      </c>
      <c r="J70" s="180" t="s">
        <v>409</v>
      </c>
      <c r="K70" s="180" t="s">
        <v>410</v>
      </c>
      <c r="L70" s="180" t="s">
        <v>411</v>
      </c>
      <c r="M70" s="180" t="s">
        <v>412</v>
      </c>
      <c r="N70" s="180" t="s">
        <v>414</v>
      </c>
      <c r="O70" s="180" t="s">
        <v>415</v>
      </c>
      <c r="P70" s="180" t="s">
        <v>416</v>
      </c>
    </row>
    <row r="71">
      <c r="I71" s="185">
        <v>1.0</v>
      </c>
      <c r="J71" s="184">
        <v>8.72964583E8</v>
      </c>
      <c r="K71" s="184">
        <v>3.8367E7</v>
      </c>
      <c r="L71" s="184">
        <v>1.61640509E8</v>
      </c>
      <c r="M71" s="184">
        <v>794833.0</v>
      </c>
      <c r="N71" s="184">
        <v>6.72162241E8</v>
      </c>
      <c r="O71" s="184">
        <v>1.34432448E8</v>
      </c>
      <c r="P71" s="184">
        <v>5.37729793E8</v>
      </c>
    </row>
    <row r="72">
      <c r="I72" s="185">
        <v>2.0</v>
      </c>
      <c r="J72" s="184">
        <v>8.72964583E8</v>
      </c>
      <c r="K72" s="184">
        <v>3.8367E7</v>
      </c>
      <c r="L72" s="184">
        <v>1.61640509E8</v>
      </c>
      <c r="M72" s="184">
        <v>794833.0</v>
      </c>
      <c r="N72" s="184">
        <v>6.72162241E8</v>
      </c>
      <c r="O72" s="184">
        <v>1.34432448E8</v>
      </c>
      <c r="P72" s="184">
        <v>5.37729793E8</v>
      </c>
    </row>
    <row r="73">
      <c r="I73" s="185">
        <v>3.0</v>
      </c>
      <c r="J73" s="184">
        <v>8.72964583E8</v>
      </c>
      <c r="K73" s="184">
        <v>3.8367E7</v>
      </c>
      <c r="L73" s="184">
        <v>1.61640509E8</v>
      </c>
      <c r="M73" s="184">
        <v>794833.0</v>
      </c>
      <c r="N73" s="184">
        <v>6.72162241E8</v>
      </c>
      <c r="O73" s="184">
        <v>1.34432448E8</v>
      </c>
      <c r="P73" s="184">
        <v>5.37729793E8</v>
      </c>
    </row>
    <row r="74">
      <c r="I74" s="185">
        <v>4.0</v>
      </c>
      <c r="J74" s="184">
        <v>8.72964583E8</v>
      </c>
      <c r="K74" s="184">
        <v>3.8367E7</v>
      </c>
      <c r="L74" s="184">
        <v>1.61640509E8</v>
      </c>
      <c r="M74" s="184">
        <v>794833.0</v>
      </c>
      <c r="N74" s="184">
        <v>6.72162241E8</v>
      </c>
      <c r="O74" s="184">
        <v>1.34432448E8</v>
      </c>
      <c r="P74" s="184">
        <v>5.37729793E8</v>
      </c>
    </row>
    <row r="75">
      <c r="I75" s="185">
        <v>5.0</v>
      </c>
      <c r="J75" s="184">
        <v>8.72964583E8</v>
      </c>
      <c r="K75" s="184">
        <v>3.8367E7</v>
      </c>
      <c r="L75" s="184">
        <v>1.61640509E8</v>
      </c>
      <c r="M75" s="184">
        <v>794833.0</v>
      </c>
      <c r="N75" s="184">
        <v>6.72162241E8</v>
      </c>
      <c r="O75" s="184">
        <v>1.34432448E8</v>
      </c>
      <c r="P75" s="184">
        <v>5.37729793E8</v>
      </c>
    </row>
    <row r="76">
      <c r="I76" s="185">
        <v>6.0</v>
      </c>
      <c r="J76" s="184">
        <v>8.72964583E8</v>
      </c>
      <c r="K76" s="184">
        <v>3.8367E7</v>
      </c>
      <c r="L76" s="184">
        <v>1.61640509E8</v>
      </c>
      <c r="M76" s="184">
        <v>794833.0</v>
      </c>
      <c r="N76" s="184">
        <v>6.72162241E8</v>
      </c>
      <c r="O76" s="184">
        <v>1.34432448E8</v>
      </c>
      <c r="P76" s="184">
        <v>5.37729793E8</v>
      </c>
    </row>
    <row r="77">
      <c r="I77" s="185">
        <v>7.0</v>
      </c>
      <c r="J77" s="184">
        <v>8.72964583E8</v>
      </c>
      <c r="K77" s="184">
        <v>3.8367E7</v>
      </c>
      <c r="L77" s="184">
        <v>1.61640509E8</v>
      </c>
      <c r="M77" s="184">
        <v>794833.0</v>
      </c>
      <c r="N77" s="184">
        <v>6.72162241E8</v>
      </c>
      <c r="O77" s="184">
        <v>1.34432448E8</v>
      </c>
      <c r="P77" s="184">
        <v>5.37729793E8</v>
      </c>
    </row>
    <row r="78">
      <c r="I78" s="185">
        <v>8.0</v>
      </c>
      <c r="J78" s="184">
        <v>8.72964583E8</v>
      </c>
      <c r="K78" s="184">
        <v>3.8367E7</v>
      </c>
      <c r="L78" s="184">
        <v>1.61640509E8</v>
      </c>
      <c r="M78" s="184">
        <v>794833.0</v>
      </c>
      <c r="N78" s="184">
        <v>6.72162241E8</v>
      </c>
      <c r="O78" s="184">
        <v>1.34432448E8</v>
      </c>
      <c r="P78" s="184">
        <v>5.37729793E8</v>
      </c>
    </row>
    <row r="79">
      <c r="I79" s="185">
        <v>9.0</v>
      </c>
      <c r="J79" s="184">
        <v>8.72964583E8</v>
      </c>
      <c r="K79" s="184">
        <v>3.8367E7</v>
      </c>
      <c r="L79" s="184">
        <v>1.61640509E8</v>
      </c>
      <c r="M79" s="184">
        <v>794833.0</v>
      </c>
      <c r="N79" s="184">
        <v>6.72162241E8</v>
      </c>
      <c r="O79" s="184">
        <v>1.34432448E8</v>
      </c>
      <c r="P79" s="184">
        <v>5.37729793E8</v>
      </c>
    </row>
    <row r="80">
      <c r="I80" s="185">
        <v>10.0</v>
      </c>
      <c r="J80" s="184">
        <v>8.72964583E8</v>
      </c>
      <c r="K80" s="184">
        <v>3.8367E7</v>
      </c>
      <c r="L80" s="184">
        <v>1.61640509E8</v>
      </c>
      <c r="M80" s="184">
        <v>794833.0</v>
      </c>
      <c r="N80" s="184">
        <v>6.72162241E8</v>
      </c>
      <c r="O80" s="184">
        <v>1.34432448E8</v>
      </c>
      <c r="P80" s="184">
        <v>5.37729793E8</v>
      </c>
    </row>
    <row r="81">
      <c r="I81" s="185">
        <v>11.0</v>
      </c>
      <c r="J81" s="184">
        <v>8.72964583E8</v>
      </c>
      <c r="K81" s="184">
        <v>3.8367E7</v>
      </c>
      <c r="L81" s="184">
        <v>1.61640509E8</v>
      </c>
      <c r="M81" s="184">
        <v>794833.0</v>
      </c>
      <c r="N81" s="184">
        <v>6.72162241E8</v>
      </c>
      <c r="O81" s="184">
        <v>1.34432448E8</v>
      </c>
      <c r="P81" s="184">
        <v>5.37729793E8</v>
      </c>
    </row>
    <row r="82">
      <c r="I82" s="185">
        <v>12.0</v>
      </c>
      <c r="J82" s="184">
        <v>8.72964583E8</v>
      </c>
      <c r="K82" s="184">
        <v>3.8367E7</v>
      </c>
      <c r="L82" s="184">
        <v>1.61640509E8</v>
      </c>
      <c r="M82" s="184">
        <v>794833.0</v>
      </c>
      <c r="N82" s="184">
        <v>6.72162241E8</v>
      </c>
      <c r="O82" s="184">
        <v>1.34432448E8</v>
      </c>
      <c r="P82" s="184">
        <v>5.37729793E8</v>
      </c>
    </row>
    <row r="83">
      <c r="I83" s="180" t="s">
        <v>471</v>
      </c>
      <c r="J83" s="188">
        <v>1.0475575E10</v>
      </c>
      <c r="K83" s="188">
        <v>4.60404E8</v>
      </c>
      <c r="L83" s="188">
        <v>1.939686109E9</v>
      </c>
      <c r="M83" s="188">
        <v>9538000.0</v>
      </c>
      <c r="N83" s="188">
        <v>8.065946891E9</v>
      </c>
      <c r="O83" s="188">
        <v>1.613189378E9</v>
      </c>
      <c r="P83" s="188">
        <v>6.452757513E9</v>
      </c>
    </row>
    <row r="84">
      <c r="I84" s="193"/>
      <c r="J84" s="193"/>
      <c r="K84" s="193"/>
      <c r="L84" s="193"/>
      <c r="M84" s="193"/>
      <c r="N84" s="193"/>
      <c r="O84" s="193"/>
      <c r="P84" s="193"/>
    </row>
  </sheetData>
  <mergeCells count="7">
    <mergeCell ref="A1:G1"/>
    <mergeCell ref="I1:P1"/>
    <mergeCell ref="A15:G15"/>
    <mergeCell ref="I18:P18"/>
    <mergeCell ref="I35:P35"/>
    <mergeCell ref="I52:P52"/>
    <mergeCell ref="I69:P6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3.38"/>
  </cols>
  <sheetData>
    <row r="1">
      <c r="A1" s="159" t="s">
        <v>472</v>
      </c>
      <c r="B1" s="160"/>
      <c r="C1" s="160"/>
      <c r="D1" s="160"/>
      <c r="E1" s="161"/>
      <c r="F1" s="198"/>
      <c r="G1" s="198"/>
      <c r="H1" s="198"/>
      <c r="I1" s="198"/>
      <c r="J1" s="198"/>
      <c r="K1" s="198"/>
      <c r="L1" s="198"/>
      <c r="M1" s="198"/>
      <c r="N1" s="198"/>
      <c r="O1" s="198"/>
      <c r="P1" s="198"/>
      <c r="Q1" s="198"/>
      <c r="R1" s="198"/>
      <c r="S1" s="198"/>
      <c r="T1" s="198"/>
      <c r="U1" s="198"/>
      <c r="V1" s="198"/>
      <c r="W1" s="198"/>
      <c r="X1" s="198"/>
      <c r="Y1" s="198"/>
      <c r="Z1" s="198"/>
    </row>
    <row r="2">
      <c r="A2" s="162" t="s">
        <v>473</v>
      </c>
      <c r="B2" s="162" t="s">
        <v>474</v>
      </c>
      <c r="C2" s="162" t="s">
        <v>475</v>
      </c>
      <c r="D2" s="162" t="s">
        <v>476</v>
      </c>
      <c r="E2" s="162" t="s">
        <v>477</v>
      </c>
      <c r="F2" s="198"/>
      <c r="G2" s="198"/>
      <c r="H2" s="198"/>
      <c r="I2" s="198"/>
      <c r="J2" s="198"/>
      <c r="K2" s="198"/>
      <c r="L2" s="198"/>
      <c r="M2" s="198"/>
      <c r="N2" s="198"/>
      <c r="O2" s="198"/>
      <c r="P2" s="198"/>
      <c r="Q2" s="198"/>
      <c r="R2" s="198"/>
      <c r="S2" s="198"/>
      <c r="T2" s="198"/>
      <c r="U2" s="198"/>
      <c r="V2" s="198"/>
      <c r="W2" s="198"/>
      <c r="X2" s="198"/>
      <c r="Y2" s="198"/>
      <c r="Z2" s="198"/>
    </row>
    <row r="3">
      <c r="A3" s="162">
        <v>2026.0</v>
      </c>
      <c r="B3" s="199">
        <f>G23+G27</f>
        <v>-228598450</v>
      </c>
      <c r="C3" s="199">
        <f>B3</f>
        <v>-228598450</v>
      </c>
      <c r="D3" s="199">
        <f>B3</f>
        <v>-228598450</v>
      </c>
      <c r="E3" s="199">
        <f>D3</f>
        <v>-228598450</v>
      </c>
      <c r="F3" s="198"/>
      <c r="G3" s="198"/>
      <c r="H3" s="198"/>
      <c r="I3" s="198"/>
      <c r="J3" s="198"/>
      <c r="K3" s="198"/>
      <c r="L3" s="198"/>
      <c r="M3" s="198"/>
      <c r="N3" s="198"/>
      <c r="O3" s="198"/>
      <c r="P3" s="198"/>
      <c r="Q3" s="198"/>
      <c r="R3" s="198"/>
      <c r="S3" s="198"/>
      <c r="T3" s="198"/>
      <c r="U3" s="198"/>
      <c r="V3" s="198"/>
      <c r="W3" s="198"/>
      <c r="X3" s="198"/>
      <c r="Y3" s="198"/>
      <c r="Z3" s="198"/>
    </row>
    <row r="4">
      <c r="A4" s="162">
        <v>2027.0</v>
      </c>
      <c r="B4" s="199">
        <f>H23</f>
        <v>-374948145</v>
      </c>
      <c r="C4" s="199">
        <f t="shared" ref="C4:C8" si="1">B4+C3</f>
        <v>-603546595</v>
      </c>
      <c r="D4" s="199">
        <f>(B4/1.15^1)</f>
        <v>-326041865.2</v>
      </c>
      <c r="E4" s="199">
        <f t="shared" ref="E4:E8" si="2">E3+D4</f>
        <v>-554640315.2</v>
      </c>
      <c r="F4" s="198"/>
      <c r="G4" s="198"/>
      <c r="H4" s="198"/>
      <c r="I4" s="198"/>
      <c r="J4" s="198"/>
      <c r="K4" s="198"/>
      <c r="L4" s="198"/>
      <c r="M4" s="198"/>
      <c r="N4" s="198"/>
      <c r="O4" s="198"/>
      <c r="P4" s="198"/>
      <c r="Q4" s="198"/>
      <c r="R4" s="198"/>
      <c r="S4" s="198"/>
      <c r="T4" s="198"/>
      <c r="U4" s="198"/>
      <c r="V4" s="198"/>
      <c r="W4" s="198"/>
      <c r="X4" s="198"/>
      <c r="Y4" s="198"/>
      <c r="Z4" s="198"/>
    </row>
    <row r="5">
      <c r="A5" s="162">
        <v>2028.0</v>
      </c>
      <c r="B5" s="199">
        <f>I23</f>
        <v>-946306600</v>
      </c>
      <c r="C5" s="199">
        <f t="shared" si="1"/>
        <v>-1549853195</v>
      </c>
      <c r="D5" s="199">
        <f>(B5/1.15^2)</f>
        <v>-715543742.9</v>
      </c>
      <c r="E5" s="199">
        <f t="shared" si="2"/>
        <v>-1270184058</v>
      </c>
      <c r="F5" s="198"/>
      <c r="G5" s="198"/>
      <c r="H5" s="198"/>
      <c r="I5" s="198"/>
      <c r="J5" s="198"/>
      <c r="K5" s="198"/>
      <c r="L5" s="198"/>
      <c r="M5" s="198"/>
      <c r="N5" s="198"/>
      <c r="O5" s="198"/>
      <c r="P5" s="198"/>
      <c r="Q5" s="198"/>
      <c r="R5" s="198"/>
      <c r="S5" s="198"/>
      <c r="T5" s="198"/>
      <c r="U5" s="198"/>
      <c r="V5" s="198"/>
      <c r="W5" s="198"/>
      <c r="X5" s="198"/>
      <c r="Y5" s="198"/>
      <c r="Z5" s="198"/>
    </row>
    <row r="6">
      <c r="A6" s="162">
        <v>2029.0</v>
      </c>
      <c r="B6" s="199">
        <f>J23</f>
        <v>-1194809825</v>
      </c>
      <c r="C6" s="199">
        <f t="shared" si="1"/>
        <v>-2744663020</v>
      </c>
      <c r="D6" s="199">
        <f>(B6/1.15^3)</f>
        <v>-785606854.6</v>
      </c>
      <c r="E6" s="199">
        <f t="shared" si="2"/>
        <v>-2055790913</v>
      </c>
      <c r="F6" s="198"/>
      <c r="G6" s="198"/>
      <c r="H6" s="198"/>
      <c r="I6" s="198"/>
      <c r="J6" s="198"/>
      <c r="K6" s="198"/>
      <c r="L6" s="198"/>
      <c r="M6" s="198"/>
      <c r="N6" s="198"/>
      <c r="O6" s="198"/>
      <c r="P6" s="198"/>
      <c r="Q6" s="198"/>
      <c r="R6" s="198"/>
      <c r="S6" s="198"/>
      <c r="T6" s="198"/>
      <c r="U6" s="198"/>
      <c r="V6" s="198"/>
      <c r="W6" s="198"/>
      <c r="X6" s="198"/>
      <c r="Y6" s="198"/>
      <c r="Z6" s="198"/>
    </row>
    <row r="7">
      <c r="A7" s="162">
        <v>2030.0</v>
      </c>
      <c r="B7" s="199">
        <f>K23</f>
        <v>-1512835033</v>
      </c>
      <c r="C7" s="199">
        <f t="shared" si="1"/>
        <v>-4257498053</v>
      </c>
      <c r="D7" s="199">
        <f>(B7/1.15^4)</f>
        <v>-864968340.2</v>
      </c>
      <c r="E7" s="199">
        <f t="shared" si="2"/>
        <v>-2920759253</v>
      </c>
      <c r="F7" s="198"/>
      <c r="G7" s="198"/>
      <c r="H7" s="198"/>
      <c r="I7" s="198"/>
      <c r="J7" s="198"/>
      <c r="K7" s="198"/>
      <c r="L7" s="198"/>
      <c r="M7" s="198"/>
      <c r="N7" s="198"/>
      <c r="O7" s="198"/>
      <c r="P7" s="198"/>
      <c r="Q7" s="198"/>
      <c r="R7" s="198"/>
      <c r="S7" s="198"/>
      <c r="T7" s="198"/>
      <c r="U7" s="198"/>
      <c r="V7" s="198"/>
      <c r="W7" s="198"/>
      <c r="X7" s="198"/>
      <c r="Y7" s="198"/>
      <c r="Z7" s="198"/>
    </row>
    <row r="8">
      <c r="A8" s="162">
        <v>2031.0</v>
      </c>
      <c r="B8" s="199">
        <f>L23</f>
        <v>-2097101628</v>
      </c>
      <c r="C8" s="199">
        <f t="shared" si="1"/>
        <v>-6354599681</v>
      </c>
      <c r="D8" s="199">
        <f>(B8/1.15^5)</f>
        <v>-1042630141</v>
      </c>
      <c r="E8" s="199">
        <f t="shared" si="2"/>
        <v>-3963389394</v>
      </c>
      <c r="F8" s="198"/>
      <c r="G8" s="198"/>
      <c r="H8" s="198"/>
      <c r="I8" s="198"/>
      <c r="J8" s="198"/>
      <c r="K8" s="198"/>
      <c r="L8" s="198"/>
      <c r="M8" s="198"/>
      <c r="N8" s="198"/>
      <c r="O8" s="198"/>
      <c r="P8" s="198"/>
      <c r="Q8" s="198"/>
      <c r="R8" s="198"/>
      <c r="S8" s="198"/>
      <c r="T8" s="198"/>
      <c r="U8" s="198"/>
      <c r="V8" s="198"/>
      <c r="W8" s="198"/>
      <c r="X8" s="198"/>
      <c r="Y8" s="198"/>
      <c r="Z8" s="198"/>
    </row>
    <row r="9">
      <c r="A9" s="200" t="s">
        <v>478</v>
      </c>
      <c r="B9" s="4"/>
      <c r="C9" s="4"/>
      <c r="D9" s="8"/>
      <c r="E9" s="201"/>
      <c r="F9" s="198"/>
      <c r="G9" s="198"/>
      <c r="H9" s="198"/>
      <c r="I9" s="198"/>
      <c r="J9" s="198"/>
      <c r="K9" s="198"/>
      <c r="L9" s="198"/>
      <c r="M9" s="198"/>
      <c r="N9" s="198"/>
      <c r="O9" s="198"/>
      <c r="P9" s="198"/>
      <c r="Q9" s="198"/>
      <c r="R9" s="198"/>
      <c r="S9" s="198"/>
      <c r="T9" s="198"/>
      <c r="U9" s="198"/>
      <c r="V9" s="198"/>
      <c r="W9" s="198"/>
      <c r="X9" s="198"/>
      <c r="Y9" s="198"/>
      <c r="Z9" s="198"/>
    </row>
    <row r="10">
      <c r="A10" s="200" t="s">
        <v>479</v>
      </c>
      <c r="B10" s="4"/>
      <c r="C10" s="4"/>
      <c r="D10" s="8"/>
      <c r="E10" s="202" t="str">
        <f>I7</f>
        <v/>
      </c>
      <c r="F10" s="198"/>
      <c r="G10" s="198"/>
      <c r="H10" s="198"/>
      <c r="I10" s="198"/>
      <c r="J10" s="198"/>
      <c r="K10" s="198"/>
      <c r="L10" s="198"/>
      <c r="M10" s="198"/>
      <c r="N10" s="198"/>
      <c r="O10" s="198"/>
      <c r="P10" s="198"/>
      <c r="Q10" s="198"/>
      <c r="R10" s="198"/>
      <c r="S10" s="198"/>
      <c r="T10" s="198"/>
      <c r="U10" s="198"/>
      <c r="V10" s="198"/>
      <c r="W10" s="198"/>
      <c r="X10" s="198"/>
      <c r="Y10" s="198"/>
      <c r="Z10" s="198"/>
    </row>
    <row r="11">
      <c r="A11" s="200" t="s">
        <v>480</v>
      </c>
      <c r="B11" s="4"/>
      <c r="C11" s="4"/>
      <c r="D11" s="8"/>
      <c r="E11" s="203">
        <f>3+ ABS(C6)/B7</f>
        <v>1.185748637</v>
      </c>
      <c r="F11" s="198"/>
      <c r="G11" s="198"/>
      <c r="H11" s="198"/>
      <c r="I11" s="198"/>
      <c r="J11" s="198"/>
      <c r="K11" s="198"/>
      <c r="L11" s="198"/>
      <c r="M11" s="198"/>
      <c r="N11" s="198"/>
      <c r="O11" s="198"/>
      <c r="P11" s="198"/>
      <c r="Q11" s="198"/>
      <c r="R11" s="198"/>
      <c r="S11" s="198"/>
      <c r="T11" s="198"/>
      <c r="U11" s="198"/>
      <c r="V11" s="198"/>
      <c r="W11" s="198"/>
      <c r="X11" s="198"/>
      <c r="Y11" s="198"/>
      <c r="Z11" s="198"/>
    </row>
    <row r="12">
      <c r="A12" s="204" t="s">
        <v>481</v>
      </c>
      <c r="B12" s="4"/>
      <c r="C12" s="4"/>
      <c r="D12" s="8"/>
      <c r="E12" s="203">
        <f>3+ ABS(E6)/D7</f>
        <v>0.6232761163</v>
      </c>
      <c r="F12" s="198"/>
      <c r="G12" s="198"/>
      <c r="H12" s="198"/>
      <c r="I12" s="198"/>
      <c r="J12" s="198"/>
      <c r="K12" s="198"/>
      <c r="L12" s="198"/>
      <c r="M12" s="198"/>
      <c r="N12" s="198"/>
      <c r="O12" s="198"/>
      <c r="P12" s="198"/>
      <c r="Q12" s="198"/>
      <c r="R12" s="198"/>
      <c r="S12" s="198"/>
      <c r="T12" s="198"/>
      <c r="U12" s="198"/>
      <c r="V12" s="198"/>
      <c r="W12" s="198"/>
      <c r="X12" s="198"/>
      <c r="Y12" s="198"/>
      <c r="Z12" s="198"/>
    </row>
    <row r="13">
      <c r="A13" s="204" t="s">
        <v>482</v>
      </c>
      <c r="B13" s="4"/>
      <c r="C13" s="4"/>
      <c r="D13" s="8"/>
      <c r="E13" s="205">
        <f t="array" ref="E13">NPV(E9,B4:B8)+B3</f>
        <v>-6354599681</v>
      </c>
      <c r="F13" s="198"/>
      <c r="G13" s="198"/>
      <c r="H13" s="198"/>
      <c r="I13" s="198"/>
      <c r="J13" s="198"/>
      <c r="K13" s="198"/>
      <c r="L13" s="198"/>
      <c r="M13" s="198"/>
      <c r="N13" s="198"/>
      <c r="O13" s="198"/>
      <c r="P13" s="198"/>
      <c r="Q13" s="198"/>
      <c r="R13" s="198"/>
      <c r="S13" s="198"/>
      <c r="T13" s="198"/>
      <c r="U13" s="198"/>
      <c r="V13" s="198"/>
      <c r="W13" s="198"/>
      <c r="X13" s="198"/>
      <c r="Y13" s="198"/>
      <c r="Z13" s="198"/>
    </row>
    <row r="14">
      <c r="A14" s="206" t="s">
        <v>483</v>
      </c>
      <c r="B14" s="4"/>
      <c r="C14" s="4"/>
      <c r="D14" s="8"/>
      <c r="E14" s="207" t="str">
        <f>IRR(B3:B8)</f>
        <v>#NUM!</v>
      </c>
      <c r="F14" s="198"/>
      <c r="G14" s="198"/>
      <c r="H14" s="198"/>
      <c r="I14" s="198"/>
      <c r="J14" s="198"/>
      <c r="K14" s="198"/>
      <c r="L14" s="198"/>
      <c r="M14" s="198"/>
      <c r="N14" s="198"/>
      <c r="O14" s="198"/>
      <c r="P14" s="198"/>
      <c r="Q14" s="198"/>
      <c r="R14" s="198"/>
      <c r="S14" s="198"/>
      <c r="T14" s="198"/>
      <c r="U14" s="198"/>
      <c r="V14" s="198"/>
      <c r="W14" s="198"/>
      <c r="X14" s="198"/>
      <c r="Y14" s="198"/>
      <c r="Z14" s="198"/>
    </row>
    <row r="15">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row>
    <row r="16">
      <c r="A16" s="198"/>
      <c r="B16" s="198"/>
      <c r="C16" s="198"/>
      <c r="D16" s="198"/>
      <c r="E16" s="198"/>
      <c r="F16" s="208" t="s">
        <v>484</v>
      </c>
      <c r="G16" s="160"/>
      <c r="H16" s="160"/>
      <c r="I16" s="160"/>
      <c r="J16" s="160"/>
      <c r="K16" s="160"/>
      <c r="L16" s="161"/>
      <c r="M16" s="198"/>
      <c r="N16" s="198"/>
      <c r="O16" s="198"/>
      <c r="P16" s="198"/>
      <c r="Q16" s="198"/>
      <c r="R16" s="198"/>
      <c r="S16" s="198"/>
      <c r="T16" s="198"/>
      <c r="U16" s="198"/>
      <c r="V16" s="198"/>
      <c r="W16" s="198"/>
      <c r="X16" s="198"/>
      <c r="Y16" s="198"/>
      <c r="Z16" s="198"/>
    </row>
    <row r="17">
      <c r="A17" s="198"/>
      <c r="B17" s="198"/>
      <c r="C17" s="198"/>
      <c r="D17" s="198"/>
      <c r="E17" s="198"/>
      <c r="F17" s="74" t="s">
        <v>485</v>
      </c>
      <c r="G17" s="74" t="s">
        <v>486</v>
      </c>
      <c r="H17" s="74" t="s">
        <v>69</v>
      </c>
      <c r="I17" s="74" t="s">
        <v>73</v>
      </c>
      <c r="J17" s="74" t="s">
        <v>75</v>
      </c>
      <c r="K17" s="74" t="s">
        <v>77</v>
      </c>
      <c r="L17" s="74" t="s">
        <v>78</v>
      </c>
      <c r="M17" s="198"/>
      <c r="N17" s="198"/>
      <c r="O17" s="198"/>
      <c r="P17" s="198"/>
      <c r="Q17" s="198"/>
      <c r="R17" s="198"/>
      <c r="S17" s="198"/>
      <c r="T17" s="198"/>
      <c r="U17" s="198"/>
      <c r="V17" s="198"/>
      <c r="W17" s="198"/>
      <c r="X17" s="198"/>
      <c r="Y17" s="198"/>
      <c r="Z17" s="198"/>
    </row>
    <row r="18">
      <c r="A18" s="198"/>
      <c r="B18" s="198"/>
      <c r="C18" s="198"/>
      <c r="D18" s="198"/>
      <c r="E18" s="198"/>
      <c r="F18" s="209" t="s">
        <v>487</v>
      </c>
      <c r="G18" s="4"/>
      <c r="H18" s="4"/>
      <c r="I18" s="4"/>
      <c r="J18" s="4"/>
      <c r="K18" s="4"/>
      <c r="L18" s="8"/>
      <c r="M18" s="198"/>
      <c r="N18" s="198"/>
      <c r="O18" s="198"/>
      <c r="P18" s="198"/>
      <c r="Q18" s="198"/>
      <c r="R18" s="198"/>
      <c r="S18" s="198"/>
      <c r="T18" s="198"/>
      <c r="U18" s="198"/>
      <c r="V18" s="198"/>
      <c r="W18" s="198"/>
      <c r="X18" s="198"/>
      <c r="Y18" s="198"/>
      <c r="Z18" s="198"/>
    </row>
    <row r="19">
      <c r="A19" s="198"/>
      <c r="B19" s="198"/>
      <c r="C19" s="198"/>
      <c r="D19" s="198"/>
      <c r="E19" s="198"/>
      <c r="F19" s="210" t="s">
        <v>488</v>
      </c>
      <c r="G19" s="211">
        <v>0.0</v>
      </c>
      <c r="H19" s="212"/>
      <c r="I19" s="212"/>
      <c r="J19" s="212"/>
      <c r="K19" s="212"/>
      <c r="L19" s="212"/>
      <c r="M19" s="198"/>
      <c r="N19" s="198"/>
      <c r="O19" s="198"/>
      <c r="P19" s="198"/>
      <c r="Q19" s="198"/>
      <c r="R19" s="198"/>
      <c r="S19" s="198"/>
      <c r="T19" s="198"/>
      <c r="U19" s="198"/>
      <c r="V19" s="198"/>
      <c r="W19" s="198"/>
      <c r="X19" s="198"/>
      <c r="Y19" s="198"/>
      <c r="Z19" s="198"/>
    </row>
    <row r="20">
      <c r="A20" s="198"/>
      <c r="B20" s="198"/>
      <c r="C20" s="198"/>
      <c r="D20" s="198"/>
      <c r="E20" s="198"/>
      <c r="F20" s="210" t="s">
        <v>489</v>
      </c>
      <c r="G20" s="211">
        <v>0.0</v>
      </c>
      <c r="H20" s="212"/>
      <c r="I20" s="212"/>
      <c r="J20" s="212"/>
      <c r="K20" s="212"/>
      <c r="L20" s="212"/>
      <c r="M20" s="198"/>
      <c r="N20" s="198"/>
      <c r="O20" s="198"/>
      <c r="P20" s="198"/>
      <c r="Q20" s="198"/>
      <c r="R20" s="198"/>
      <c r="S20" s="198"/>
      <c r="T20" s="198"/>
      <c r="U20" s="198"/>
      <c r="V20" s="198"/>
      <c r="W20" s="198"/>
      <c r="X20" s="198"/>
      <c r="Y20" s="198"/>
      <c r="Z20" s="198"/>
    </row>
    <row r="21">
      <c r="A21" s="198"/>
      <c r="B21" s="198"/>
      <c r="C21" s="198"/>
      <c r="D21" s="198"/>
      <c r="E21" s="198"/>
      <c r="F21" s="210" t="s">
        <v>490</v>
      </c>
      <c r="G21" s="211">
        <v>0.0</v>
      </c>
      <c r="H21" s="213">
        <f>OPEX!S28</f>
        <v>374948145</v>
      </c>
      <c r="I21" s="213">
        <f>OPEX!T28</f>
        <v>946306600</v>
      </c>
      <c r="J21" s="213">
        <f>OPEX!U28</f>
        <v>1194809825</v>
      </c>
      <c r="K21" s="213">
        <f>OPEX!V28</f>
        <v>1512835033</v>
      </c>
      <c r="L21" s="213">
        <f>OPEX!W28</f>
        <v>2097101628</v>
      </c>
      <c r="M21" s="198"/>
      <c r="N21" s="198"/>
      <c r="O21" s="198"/>
      <c r="P21" s="198"/>
      <c r="Q21" s="198"/>
      <c r="R21" s="198"/>
      <c r="S21" s="198"/>
      <c r="T21" s="198"/>
      <c r="U21" s="198"/>
      <c r="V21" s="198"/>
      <c r="W21" s="198"/>
      <c r="X21" s="198"/>
      <c r="Y21" s="198"/>
      <c r="Z21" s="198"/>
    </row>
    <row r="22">
      <c r="A22" s="198"/>
      <c r="B22" s="198"/>
      <c r="C22" s="198"/>
      <c r="D22" s="198"/>
      <c r="E22" s="198"/>
      <c r="F22" s="210" t="s">
        <v>491</v>
      </c>
      <c r="G22" s="211">
        <v>0.0</v>
      </c>
      <c r="H22" s="211"/>
      <c r="I22" s="212"/>
      <c r="J22" s="214"/>
      <c r="K22" s="214"/>
      <c r="L22" s="214"/>
      <c r="M22" s="198"/>
      <c r="N22" s="198"/>
      <c r="O22" s="198"/>
      <c r="P22" s="198"/>
      <c r="Q22" s="198"/>
      <c r="R22" s="198"/>
      <c r="S22" s="198"/>
      <c r="T22" s="198"/>
      <c r="U22" s="198"/>
      <c r="V22" s="198"/>
      <c r="W22" s="198"/>
      <c r="X22" s="198"/>
      <c r="Y22" s="198"/>
      <c r="Z22" s="198"/>
    </row>
    <row r="23">
      <c r="A23" s="198"/>
      <c r="B23" s="198"/>
      <c r="C23" s="198"/>
      <c r="D23" s="198"/>
      <c r="E23" s="198"/>
      <c r="F23" s="210" t="s">
        <v>492</v>
      </c>
      <c r="G23" s="214">
        <f>SUM(G19:G22)</f>
        <v>0</v>
      </c>
      <c r="H23" s="214">
        <f t="shared" ref="H23:L23" si="3">H19-H20-H21-H22</f>
        <v>-374948145</v>
      </c>
      <c r="I23" s="214">
        <f t="shared" si="3"/>
        <v>-946306600</v>
      </c>
      <c r="J23" s="214">
        <f t="shared" si="3"/>
        <v>-1194809825</v>
      </c>
      <c r="K23" s="214">
        <f t="shared" si="3"/>
        <v>-1512835033</v>
      </c>
      <c r="L23" s="214">
        <f t="shared" si="3"/>
        <v>-2097101628</v>
      </c>
      <c r="M23" s="198"/>
      <c r="N23" s="198"/>
      <c r="O23" s="198"/>
      <c r="P23" s="198"/>
      <c r="Q23" s="198"/>
      <c r="R23" s="198"/>
      <c r="S23" s="198"/>
      <c r="T23" s="198"/>
      <c r="U23" s="198"/>
      <c r="V23" s="198"/>
      <c r="W23" s="198"/>
      <c r="X23" s="198"/>
      <c r="Y23" s="198"/>
      <c r="Z23" s="198"/>
    </row>
    <row r="24">
      <c r="A24" s="198"/>
      <c r="B24" s="198"/>
      <c r="C24" s="198"/>
      <c r="D24" s="198"/>
      <c r="E24" s="198"/>
      <c r="F24" s="215" t="s">
        <v>493</v>
      </c>
      <c r="G24" s="216"/>
      <c r="H24" s="216"/>
      <c r="I24" s="216"/>
      <c r="J24" s="216"/>
      <c r="K24" s="216"/>
      <c r="L24" s="217"/>
      <c r="M24" s="198"/>
      <c r="N24" s="198"/>
      <c r="O24" s="198"/>
      <c r="P24" s="198"/>
      <c r="Q24" s="198"/>
      <c r="R24" s="198"/>
      <c r="S24" s="198"/>
      <c r="T24" s="198"/>
      <c r="U24" s="198"/>
      <c r="V24" s="198"/>
      <c r="W24" s="198"/>
      <c r="X24" s="198"/>
      <c r="Y24" s="198"/>
      <c r="Z24" s="198"/>
    </row>
    <row r="25">
      <c r="A25" s="198"/>
      <c r="B25" s="198"/>
      <c r="C25" s="198"/>
      <c r="D25" s="198"/>
      <c r="E25" s="198"/>
      <c r="F25" s="210" t="s">
        <v>494</v>
      </c>
      <c r="G25" s="214">
        <f>-CAPEX!G36</f>
        <v>-228598450</v>
      </c>
      <c r="H25" s="211">
        <v>0.0</v>
      </c>
      <c r="I25" s="211">
        <v>0.0</v>
      </c>
      <c r="J25" s="211">
        <v>0.0</v>
      </c>
      <c r="K25" s="211">
        <v>0.0</v>
      </c>
      <c r="L25" s="211">
        <v>0.0</v>
      </c>
      <c r="M25" s="198"/>
      <c r="N25" s="198"/>
      <c r="O25" s="198"/>
      <c r="P25" s="198"/>
      <c r="Q25" s="198"/>
      <c r="R25" s="198"/>
      <c r="S25" s="198"/>
      <c r="T25" s="198"/>
      <c r="U25" s="198"/>
      <c r="V25" s="198"/>
      <c r="W25" s="198"/>
      <c r="X25" s="198"/>
      <c r="Y25" s="198"/>
      <c r="Z25" s="198"/>
    </row>
    <row r="26">
      <c r="A26" s="198"/>
      <c r="B26" s="198"/>
      <c r="C26" s="198"/>
      <c r="D26" s="198"/>
      <c r="E26" s="198"/>
      <c r="F26" s="210" t="s">
        <v>495</v>
      </c>
      <c r="G26" s="211">
        <v>0.0</v>
      </c>
      <c r="H26" s="211">
        <v>0.0</v>
      </c>
      <c r="I26" s="211">
        <v>0.0</v>
      </c>
      <c r="J26" s="211">
        <v>0.0</v>
      </c>
      <c r="K26" s="211">
        <v>0.0</v>
      </c>
      <c r="L26" s="211">
        <v>0.0</v>
      </c>
      <c r="M26" s="198"/>
      <c r="N26" s="198"/>
      <c r="O26" s="198"/>
      <c r="P26" s="198"/>
      <c r="Q26" s="198"/>
      <c r="R26" s="198"/>
      <c r="S26" s="198"/>
      <c r="T26" s="198"/>
      <c r="U26" s="198"/>
      <c r="V26" s="198"/>
      <c r="W26" s="198"/>
      <c r="X26" s="198"/>
      <c r="Y26" s="198"/>
      <c r="Z26" s="198"/>
    </row>
    <row r="27">
      <c r="A27" s="198"/>
      <c r="B27" s="198"/>
      <c r="C27" s="198"/>
      <c r="D27" s="198"/>
      <c r="E27" s="198"/>
      <c r="F27" s="210" t="s">
        <v>496</v>
      </c>
      <c r="G27" s="214">
        <f>G25</f>
        <v>-228598450</v>
      </c>
      <c r="H27" s="218"/>
      <c r="I27" s="218"/>
      <c r="J27" s="218"/>
      <c r="K27" s="218"/>
      <c r="L27" s="218"/>
      <c r="M27" s="198"/>
      <c r="N27" s="198"/>
      <c r="O27" s="198"/>
      <c r="P27" s="198"/>
      <c r="Q27" s="198"/>
      <c r="R27" s="198"/>
      <c r="S27" s="198"/>
      <c r="T27" s="198"/>
      <c r="U27" s="198"/>
      <c r="V27" s="198"/>
      <c r="W27" s="198"/>
      <c r="X27" s="198"/>
      <c r="Y27" s="198"/>
      <c r="Z27" s="198"/>
    </row>
    <row r="28">
      <c r="A28" s="198"/>
      <c r="B28" s="198"/>
      <c r="C28" s="198"/>
      <c r="D28" s="198"/>
      <c r="E28" s="198"/>
      <c r="F28" s="209" t="s">
        <v>497</v>
      </c>
      <c r="G28" s="4"/>
      <c r="H28" s="4"/>
      <c r="I28" s="4"/>
      <c r="J28" s="4"/>
      <c r="K28" s="4"/>
      <c r="L28" s="8"/>
      <c r="M28" s="198"/>
      <c r="N28" s="198"/>
      <c r="O28" s="198"/>
      <c r="P28" s="198"/>
      <c r="Q28" s="198"/>
      <c r="R28" s="198"/>
      <c r="S28" s="198"/>
      <c r="T28" s="198"/>
      <c r="U28" s="198"/>
      <c r="V28" s="198"/>
      <c r="W28" s="198"/>
      <c r="X28" s="198"/>
      <c r="Y28" s="198"/>
      <c r="Z28" s="198"/>
    </row>
    <row r="29">
      <c r="A29" s="198"/>
      <c r="B29" s="198"/>
      <c r="C29" s="198"/>
      <c r="D29" s="198"/>
      <c r="E29" s="198"/>
      <c r="F29" s="210" t="s">
        <v>498</v>
      </c>
      <c r="G29" s="219">
        <v>0.0</v>
      </c>
      <c r="H29" s="211">
        <v>0.0</v>
      </c>
      <c r="I29" s="211">
        <v>0.0</v>
      </c>
      <c r="J29" s="211">
        <v>0.0</v>
      </c>
      <c r="K29" s="211">
        <v>0.0</v>
      </c>
      <c r="L29" s="211">
        <v>0.0</v>
      </c>
      <c r="M29" s="198"/>
      <c r="N29" s="198"/>
      <c r="O29" s="198"/>
      <c r="P29" s="198"/>
      <c r="Q29" s="198"/>
      <c r="R29" s="198"/>
      <c r="S29" s="198"/>
      <c r="T29" s="198"/>
      <c r="U29" s="198"/>
      <c r="V29" s="198"/>
      <c r="W29" s="198"/>
      <c r="X29" s="198"/>
      <c r="Y29" s="198"/>
      <c r="Z29" s="198"/>
    </row>
    <row r="30">
      <c r="A30" s="198"/>
      <c r="B30" s="198"/>
      <c r="C30" s="198"/>
      <c r="D30" s="198"/>
      <c r="E30" s="198"/>
      <c r="F30" s="210" t="s">
        <v>499</v>
      </c>
      <c r="G30" s="211">
        <v>0.0</v>
      </c>
      <c r="H30" s="211">
        <v>0.0</v>
      </c>
      <c r="I30" s="211">
        <v>0.0</v>
      </c>
      <c r="J30" s="211">
        <v>0.0</v>
      </c>
      <c r="K30" s="211">
        <v>0.0</v>
      </c>
      <c r="L30" s="211">
        <v>0.0</v>
      </c>
      <c r="M30" s="198"/>
      <c r="N30" s="198"/>
      <c r="O30" s="198"/>
      <c r="P30" s="198"/>
      <c r="Q30" s="198"/>
      <c r="R30" s="198"/>
      <c r="S30" s="198"/>
      <c r="T30" s="198"/>
      <c r="U30" s="198"/>
      <c r="V30" s="198"/>
      <c r="W30" s="198"/>
      <c r="X30" s="198"/>
      <c r="Y30" s="198"/>
      <c r="Z30" s="198"/>
    </row>
    <row r="31">
      <c r="A31" s="198"/>
      <c r="B31" s="198"/>
      <c r="C31" s="198"/>
      <c r="D31" s="198"/>
      <c r="E31" s="198"/>
      <c r="F31" s="210" t="s">
        <v>500</v>
      </c>
      <c r="G31" s="212">
        <f>SUM(G29:G30)</f>
        <v>0</v>
      </c>
      <c r="H31" s="211">
        <v>0.0</v>
      </c>
      <c r="I31" s="211">
        <v>0.0</v>
      </c>
      <c r="J31" s="211">
        <v>0.0</v>
      </c>
      <c r="K31" s="211">
        <v>0.0</v>
      </c>
      <c r="L31" s="211">
        <v>0.0</v>
      </c>
      <c r="M31" s="198"/>
      <c r="N31" s="198"/>
      <c r="O31" s="198"/>
      <c r="P31" s="198"/>
      <c r="Q31" s="198"/>
      <c r="R31" s="198"/>
      <c r="S31" s="198"/>
      <c r="T31" s="198"/>
      <c r="U31" s="198"/>
      <c r="V31" s="198"/>
      <c r="W31" s="198"/>
      <c r="X31" s="198"/>
      <c r="Y31" s="198"/>
      <c r="Z31" s="198"/>
    </row>
    <row r="32">
      <c r="A32" s="198"/>
      <c r="B32" s="198"/>
      <c r="C32" s="198"/>
      <c r="D32" s="198"/>
      <c r="E32" s="198"/>
      <c r="F32" s="220"/>
      <c r="G32" s="4"/>
      <c r="H32" s="4"/>
      <c r="I32" s="4"/>
      <c r="J32" s="4"/>
      <c r="K32" s="4"/>
      <c r="L32" s="8"/>
      <c r="M32" s="198"/>
      <c r="N32" s="198"/>
      <c r="O32" s="198"/>
      <c r="P32" s="198"/>
      <c r="Q32" s="198"/>
      <c r="R32" s="198"/>
      <c r="S32" s="198"/>
      <c r="T32" s="198"/>
      <c r="U32" s="198"/>
      <c r="V32" s="198"/>
      <c r="W32" s="198"/>
      <c r="X32" s="198"/>
      <c r="Y32" s="198"/>
      <c r="Z32" s="198"/>
    </row>
    <row r="33">
      <c r="A33" s="198"/>
      <c r="B33" s="198"/>
      <c r="C33" s="198"/>
      <c r="D33" s="198"/>
      <c r="E33" s="198"/>
      <c r="F33" s="210" t="s">
        <v>501</v>
      </c>
      <c r="G33" s="214">
        <f>G27+G23+G31</f>
        <v>-228598450</v>
      </c>
      <c r="H33" s="214">
        <f t="shared" ref="H33:L33" si="4">H23+H27+H31</f>
        <v>-374948145</v>
      </c>
      <c r="I33" s="214">
        <f t="shared" si="4"/>
        <v>-946306600</v>
      </c>
      <c r="J33" s="214">
        <f t="shared" si="4"/>
        <v>-1194809825</v>
      </c>
      <c r="K33" s="214">
        <f t="shared" si="4"/>
        <v>-1512835033</v>
      </c>
      <c r="L33" s="214">
        <f t="shared" si="4"/>
        <v>-2097101628</v>
      </c>
      <c r="M33" s="198"/>
      <c r="N33" s="198"/>
      <c r="O33" s="198"/>
      <c r="P33" s="198"/>
      <c r="Q33" s="198"/>
      <c r="R33" s="198"/>
      <c r="S33" s="198"/>
      <c r="T33" s="198"/>
      <c r="U33" s="198"/>
      <c r="V33" s="198"/>
      <c r="W33" s="198"/>
      <c r="X33" s="198"/>
      <c r="Y33" s="198"/>
      <c r="Z33" s="198"/>
    </row>
    <row r="34">
      <c r="A34" s="198"/>
      <c r="B34" s="198"/>
      <c r="C34" s="198"/>
      <c r="D34" s="198"/>
      <c r="E34" s="198"/>
      <c r="F34" s="210" t="s">
        <v>502</v>
      </c>
      <c r="G34" s="212">
        <v>0.0</v>
      </c>
      <c r="H34" s="212">
        <f t="shared" ref="H34:L34" si="5">G35</f>
        <v>-228598450</v>
      </c>
      <c r="I34" s="212">
        <f t="shared" si="5"/>
        <v>-603546595</v>
      </c>
      <c r="J34" s="212">
        <f t="shared" si="5"/>
        <v>-1549853195</v>
      </c>
      <c r="K34" s="212">
        <f t="shared" si="5"/>
        <v>-2744663020</v>
      </c>
      <c r="L34" s="212">
        <f t="shared" si="5"/>
        <v>-4257498053</v>
      </c>
      <c r="M34" s="198"/>
      <c r="N34" s="198"/>
      <c r="O34" s="198"/>
      <c r="P34" s="198"/>
      <c r="Q34" s="198"/>
      <c r="R34" s="198"/>
      <c r="S34" s="198"/>
      <c r="T34" s="198"/>
      <c r="U34" s="198"/>
      <c r="V34" s="198"/>
      <c r="W34" s="198"/>
      <c r="X34" s="198"/>
      <c r="Y34" s="198"/>
      <c r="Z34" s="198"/>
    </row>
    <row r="35">
      <c r="A35" s="198"/>
      <c r="B35" s="198"/>
      <c r="C35" s="198"/>
      <c r="D35" s="198"/>
      <c r="E35" s="198"/>
      <c r="F35" s="210" t="s">
        <v>503</v>
      </c>
      <c r="G35" s="212">
        <f>G34+G33</f>
        <v>-228598450</v>
      </c>
      <c r="H35" s="212">
        <f t="shared" ref="H35:L35" si="6">H33+H34</f>
        <v>-603546595</v>
      </c>
      <c r="I35" s="212">
        <f t="shared" si="6"/>
        <v>-1549853195</v>
      </c>
      <c r="J35" s="212">
        <f t="shared" si="6"/>
        <v>-2744663020</v>
      </c>
      <c r="K35" s="212">
        <f t="shared" si="6"/>
        <v>-4257498053</v>
      </c>
      <c r="L35" s="212">
        <f t="shared" si="6"/>
        <v>-6354599681</v>
      </c>
      <c r="M35" s="198"/>
      <c r="N35" s="198"/>
      <c r="O35" s="198"/>
      <c r="P35" s="198"/>
      <c r="Q35" s="198"/>
      <c r="R35" s="198"/>
      <c r="S35" s="198"/>
      <c r="T35" s="198"/>
      <c r="U35" s="198"/>
      <c r="V35" s="198"/>
      <c r="W35" s="198"/>
      <c r="X35" s="198"/>
      <c r="Y35" s="198"/>
      <c r="Z35" s="198"/>
    </row>
    <row r="36">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row>
    <row r="38">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row>
    <row r="39">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row>
    <row r="40">
      <c r="A40" s="198"/>
      <c r="B40" s="198"/>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row>
    <row r="41">
      <c r="A41" s="198"/>
      <c r="B41" s="198"/>
      <c r="C41" s="198"/>
      <c r="D41" s="198"/>
      <c r="E41" s="198"/>
      <c r="F41" s="198"/>
      <c r="G41" s="198"/>
      <c r="H41" s="198"/>
      <c r="I41" s="198"/>
      <c r="J41" s="198"/>
      <c r="K41" s="198"/>
      <c r="L41" s="198"/>
      <c r="M41" s="198"/>
      <c r="N41" s="198"/>
      <c r="O41" s="198"/>
      <c r="P41" s="198"/>
      <c r="Q41" s="198"/>
      <c r="R41" s="198"/>
      <c r="S41" s="198"/>
      <c r="T41" s="198"/>
      <c r="U41" s="198"/>
      <c r="V41" s="198"/>
      <c r="W41" s="198"/>
      <c r="X41" s="198"/>
      <c r="Y41" s="198"/>
      <c r="Z41" s="198"/>
    </row>
    <row r="42">
      <c r="A42" s="198"/>
      <c r="B42" s="198"/>
      <c r="C42" s="198"/>
      <c r="D42" s="198"/>
      <c r="E42" s="198"/>
      <c r="F42" s="198"/>
      <c r="G42" s="198"/>
      <c r="H42" s="198"/>
      <c r="I42" s="198"/>
      <c r="J42" s="198"/>
      <c r="K42" s="198"/>
      <c r="L42" s="198"/>
      <c r="M42" s="198"/>
      <c r="N42" s="198"/>
      <c r="O42" s="198"/>
      <c r="P42" s="198"/>
      <c r="Q42" s="198"/>
      <c r="R42" s="198"/>
      <c r="S42" s="198"/>
      <c r="T42" s="198"/>
      <c r="U42" s="198"/>
      <c r="V42" s="198"/>
      <c r="W42" s="198"/>
      <c r="X42" s="198"/>
      <c r="Y42" s="198"/>
      <c r="Z42" s="198"/>
    </row>
    <row r="43">
      <c r="A43" s="198"/>
      <c r="B43" s="198"/>
      <c r="C43" s="198"/>
      <c r="D43" s="198"/>
      <c r="E43" s="198"/>
      <c r="F43" s="198"/>
      <c r="G43" s="198"/>
      <c r="H43" s="198"/>
      <c r="I43" s="198"/>
      <c r="J43" s="198"/>
      <c r="K43" s="198"/>
      <c r="L43" s="198"/>
      <c r="M43" s="198"/>
      <c r="N43" s="198"/>
      <c r="O43" s="198"/>
      <c r="P43" s="198"/>
      <c r="Q43" s="198"/>
      <c r="R43" s="198"/>
      <c r="S43" s="198"/>
      <c r="T43" s="198"/>
      <c r="U43" s="198"/>
      <c r="V43" s="198"/>
      <c r="W43" s="198"/>
      <c r="X43" s="198"/>
      <c r="Y43" s="198"/>
      <c r="Z43" s="198"/>
    </row>
    <row r="44">
      <c r="A44" s="198"/>
      <c r="B44" s="198"/>
      <c r="C44" s="198"/>
      <c r="D44" s="198"/>
      <c r="E44" s="198"/>
      <c r="F44" s="198"/>
      <c r="G44" s="198"/>
      <c r="H44" s="198"/>
      <c r="I44" s="198"/>
      <c r="J44" s="198"/>
      <c r="K44" s="198"/>
      <c r="L44" s="198"/>
      <c r="M44" s="198"/>
      <c r="N44" s="198"/>
      <c r="O44" s="198"/>
      <c r="P44" s="198"/>
      <c r="Q44" s="198"/>
      <c r="R44" s="198"/>
      <c r="S44" s="198"/>
      <c r="T44" s="198"/>
      <c r="U44" s="198"/>
      <c r="V44" s="198"/>
      <c r="W44" s="198"/>
      <c r="X44" s="198"/>
      <c r="Y44" s="198"/>
      <c r="Z44" s="198"/>
    </row>
    <row r="45">
      <c r="A45" s="198"/>
      <c r="B45" s="198"/>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row>
    <row r="46">
      <c r="A46" s="198"/>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c r="A48" s="198"/>
      <c r="B48" s="198"/>
      <c r="C48" s="198"/>
      <c r="D48" s="198"/>
      <c r="E48" s="198"/>
      <c r="F48" s="198"/>
      <c r="G48" s="198"/>
      <c r="H48" s="198"/>
      <c r="I48" s="198"/>
      <c r="J48" s="198"/>
      <c r="K48" s="198"/>
      <c r="L48" s="198"/>
      <c r="M48" s="198"/>
      <c r="N48" s="198"/>
      <c r="O48" s="198"/>
      <c r="P48" s="198"/>
      <c r="Q48" s="198"/>
      <c r="R48" s="198"/>
      <c r="S48" s="198"/>
      <c r="T48" s="198"/>
      <c r="U48" s="198"/>
      <c r="V48" s="198"/>
      <c r="W48" s="198"/>
      <c r="X48" s="198"/>
      <c r="Y48" s="198"/>
      <c r="Z48" s="198"/>
    </row>
    <row r="49">
      <c r="A49" s="198"/>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row>
    <row r="50">
      <c r="A50" s="198"/>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1">
      <c r="A51" s="198"/>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row>
    <row r="52">
      <c r="A52" s="198"/>
      <c r="B52" s="198"/>
      <c r="C52" s="198"/>
      <c r="D52" s="198"/>
      <c r="E52" s="198"/>
      <c r="F52" s="198"/>
      <c r="G52" s="198"/>
      <c r="H52" s="198"/>
      <c r="I52" s="198"/>
      <c r="J52" s="198"/>
      <c r="K52" s="198"/>
      <c r="L52" s="198"/>
      <c r="M52" s="198"/>
      <c r="N52" s="198"/>
      <c r="O52" s="198"/>
      <c r="P52" s="198"/>
      <c r="Q52" s="198"/>
      <c r="R52" s="198"/>
      <c r="S52" s="198"/>
      <c r="T52" s="198"/>
      <c r="U52" s="198"/>
      <c r="V52" s="198"/>
      <c r="W52" s="198"/>
      <c r="X52" s="198"/>
      <c r="Y52" s="198"/>
      <c r="Z52" s="198"/>
    </row>
    <row r="53">
      <c r="A53" s="198"/>
      <c r="B53" s="198"/>
      <c r="C53" s="198"/>
      <c r="D53" s="198"/>
      <c r="E53" s="198"/>
      <c r="F53" s="198"/>
      <c r="G53" s="198"/>
      <c r="H53" s="198"/>
      <c r="I53" s="198"/>
      <c r="J53" s="198"/>
      <c r="K53" s="198"/>
      <c r="L53" s="198"/>
      <c r="M53" s="198"/>
      <c r="N53" s="198"/>
      <c r="O53" s="198"/>
      <c r="P53" s="198"/>
      <c r="Q53" s="198"/>
      <c r="R53" s="198"/>
      <c r="S53" s="198"/>
      <c r="T53" s="198"/>
      <c r="U53" s="198"/>
      <c r="V53" s="198"/>
      <c r="W53" s="198"/>
      <c r="X53" s="198"/>
      <c r="Y53" s="198"/>
      <c r="Z53" s="198"/>
    </row>
    <row r="54">
      <c r="A54" s="198"/>
      <c r="B54" s="198"/>
      <c r="C54" s="198"/>
      <c r="D54" s="198"/>
      <c r="E54" s="198"/>
      <c r="F54" s="198"/>
      <c r="G54" s="198"/>
      <c r="H54" s="198"/>
      <c r="I54" s="198"/>
      <c r="J54" s="198"/>
      <c r="K54" s="198"/>
      <c r="L54" s="198"/>
      <c r="M54" s="198"/>
      <c r="N54" s="198"/>
      <c r="O54" s="198"/>
      <c r="P54" s="198"/>
      <c r="Q54" s="198"/>
      <c r="R54" s="198"/>
      <c r="S54" s="198"/>
      <c r="T54" s="198"/>
      <c r="U54" s="198"/>
      <c r="V54" s="198"/>
      <c r="W54" s="198"/>
      <c r="X54" s="198"/>
      <c r="Y54" s="198"/>
      <c r="Z54" s="198"/>
    </row>
    <row r="55">
      <c r="A55" s="198"/>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row>
    <row r="56">
      <c r="A56" s="198"/>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c r="A59" s="198"/>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c r="A60" s="198"/>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c r="A61" s="198"/>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c r="A62" s="198"/>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c r="A63" s="198"/>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c r="A64" s="198"/>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c r="A65" s="198"/>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c r="A66" s="198"/>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c r="A68" s="198"/>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c r="A69" s="198"/>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c r="A70" s="198"/>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c r="A71" s="198"/>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c r="A72" s="198"/>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c r="A73" s="198"/>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c r="A74" s="198"/>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c r="A75" s="198"/>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c r="A76" s="198"/>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c r="A77" s="198"/>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c r="A78" s="198"/>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c r="A79" s="198"/>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c r="A80" s="198"/>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c r="A81" s="198"/>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c r="A82" s="198"/>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c r="A83" s="198"/>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c r="A84" s="198"/>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c r="A85" s="198"/>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c r="A86" s="198"/>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c r="A87" s="198"/>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c r="A88" s="198"/>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c r="A89" s="198"/>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c r="A90" s="198"/>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c r="A91" s="198"/>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c r="A92" s="198"/>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c r="A93" s="198"/>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c r="A94" s="198"/>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c r="A95" s="198"/>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c r="A96" s="198"/>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c r="A97" s="198"/>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c r="A98" s="198"/>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c r="A99" s="198"/>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c r="A100" s="198"/>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c r="A101" s="198"/>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c r="A102" s="198"/>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c r="A103" s="198"/>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c r="A105" s="198"/>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c r="A106" s="198"/>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c r="A107" s="198"/>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c r="A109" s="198"/>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c r="A110" s="198"/>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c r="A111" s="198"/>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c r="A112" s="198"/>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c r="A113" s="198"/>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c r="A114" s="198"/>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c r="A115" s="198"/>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c r="A116" s="198"/>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c r="A117" s="198"/>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c r="A118" s="198"/>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c r="A119" s="198"/>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c r="A120" s="198"/>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c r="A121" s="198"/>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c r="A122" s="198"/>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c r="A123" s="198"/>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c r="A124" s="198"/>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c r="A125" s="198"/>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c r="A126" s="198"/>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c r="A127" s="198"/>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c r="A128" s="198"/>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c r="A129" s="198"/>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c r="A130" s="198"/>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c r="A131" s="198"/>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c r="A132" s="198"/>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c r="A133" s="198"/>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c r="A134" s="198"/>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c r="A135" s="198"/>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c r="A137" s="198"/>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c r="A138" s="198"/>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c r="A139" s="198"/>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c r="A140" s="198"/>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c r="A141" s="198"/>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c r="A142" s="198"/>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c r="A143" s="198"/>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c r="A144" s="198"/>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c r="A145" s="198"/>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c r="A146" s="198"/>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c r="A147" s="198"/>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c r="A149" s="198"/>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c r="A150" s="198"/>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c r="A151" s="198"/>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c r="A152" s="198"/>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c r="A153" s="198"/>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c r="A154" s="198"/>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c r="A155" s="198"/>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c r="A156" s="198"/>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c r="A157" s="198"/>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c r="A158" s="198"/>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c r="A159" s="198"/>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c r="A160" s="198"/>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c r="A161" s="198"/>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c r="A162" s="198"/>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c r="A163" s="198"/>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c r="A165" s="198"/>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c r="A166" s="198"/>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c r="A167" s="198"/>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c r="A168" s="198"/>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c r="A169" s="198"/>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c r="A170" s="198"/>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c r="A171" s="198"/>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c r="A172" s="198"/>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c r="A173" s="198"/>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c r="A174" s="198"/>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c r="A175" s="198"/>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c r="A176" s="198"/>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c r="A178" s="198"/>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c r="A179" s="198"/>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c r="A180" s="198"/>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c r="A181" s="198"/>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c r="A182" s="198"/>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c r="A183" s="198"/>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c r="A185" s="198"/>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c r="A186" s="198"/>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c r="A187" s="198"/>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c r="A188" s="198"/>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c r="A189" s="198"/>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c r="A190" s="198"/>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c r="A191" s="198"/>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c r="A192" s="198"/>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c r="A193" s="198"/>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c r="A194" s="198"/>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c r="A195" s="198"/>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c r="A196" s="198"/>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c r="A197" s="198"/>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c r="A198" s="198"/>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c r="A199" s="198"/>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c r="A200" s="198"/>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c r="A201" s="198"/>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c r="A202" s="198"/>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c r="A203" s="198"/>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c r="A204" s="198"/>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c r="A205" s="198"/>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c r="A206" s="198"/>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c r="A207" s="198"/>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c r="A208" s="198"/>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c r="A209" s="198"/>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c r="A210" s="198"/>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c r="A211" s="198"/>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c r="A212" s="198"/>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c r="A213" s="198"/>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c r="A214" s="198"/>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c r="A215" s="198"/>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c r="A216" s="198"/>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c r="A217" s="198"/>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c r="A218" s="198"/>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c r="A219" s="198"/>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c r="A220" s="198"/>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c r="A221" s="198"/>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c r="A222" s="198"/>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c r="A223" s="198"/>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c r="A224" s="198"/>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c r="A225" s="198"/>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c r="A226" s="198"/>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c r="A227" s="198"/>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c r="A228" s="198"/>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c r="A229" s="198"/>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c r="A230" s="198"/>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c r="A231" s="198"/>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c r="A232" s="198"/>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c r="A233" s="198"/>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c r="A234" s="198"/>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c r="A235" s="198"/>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c r="A236" s="198"/>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c r="A237" s="198"/>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c r="A238" s="198"/>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c r="A239" s="198"/>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c r="A240" s="198"/>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c r="A241" s="198"/>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c r="A242" s="198"/>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c r="A243" s="198"/>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c r="A244" s="198"/>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c r="A245" s="198"/>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c r="A246" s="198"/>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c r="A247" s="198"/>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c r="A248" s="198"/>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c r="A249" s="198"/>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c r="A250" s="198"/>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c r="A251" s="198"/>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c r="A252" s="198"/>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c r="A253" s="198"/>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c r="A254" s="198"/>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c r="A256" s="198"/>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c r="A257" s="198"/>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c r="A258" s="198"/>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c r="A259" s="198"/>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c r="A260" s="198"/>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c r="A261" s="198"/>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c r="A262" s="198"/>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c r="A263" s="198"/>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c r="A264" s="198"/>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c r="A265" s="198"/>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c r="A266" s="198"/>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c r="A267" s="198"/>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c r="A268" s="198"/>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c r="A269" s="198"/>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c r="A270" s="198"/>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c r="A271" s="198"/>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c r="A272" s="198"/>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c r="A273" s="198"/>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c r="A274" s="198"/>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c r="A275" s="198"/>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c r="A276" s="198"/>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c r="A277" s="198"/>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c r="A278" s="198"/>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c r="A279" s="198"/>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c r="A280" s="198"/>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c r="A281" s="198"/>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c r="A282" s="198"/>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c r="A283" s="198"/>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c r="A284" s="198"/>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c r="A285" s="198"/>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c r="A286" s="198"/>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c r="A287" s="198"/>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c r="A288" s="198"/>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c r="A289" s="198"/>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c r="A290" s="198"/>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c r="A291" s="198"/>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c r="A292" s="198"/>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c r="A293" s="198"/>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c r="A294" s="198"/>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c r="A295" s="198"/>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c r="A296" s="198"/>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c r="A297" s="198"/>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c r="A298" s="198"/>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c r="A299" s="198"/>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c r="A300" s="198"/>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c r="A301" s="198"/>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c r="A302" s="198"/>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c r="A303" s="198"/>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c r="A304" s="198"/>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c r="A305" s="198"/>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c r="A306" s="198"/>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c r="A307" s="198"/>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c r="A308" s="198"/>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c r="A309" s="198"/>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c r="A310" s="198"/>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c r="A311" s="198"/>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c r="A312" s="198"/>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c r="A313" s="198"/>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c r="A314" s="198"/>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c r="A315" s="198"/>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c r="A316" s="198"/>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c r="A317" s="198"/>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c r="A318" s="198"/>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c r="A319" s="198"/>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c r="A320" s="198"/>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c r="A321" s="198"/>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c r="A322" s="198"/>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c r="A323" s="198"/>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c r="A324" s="198"/>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c r="A325" s="198"/>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c r="A326" s="198"/>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c r="A327" s="198"/>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c r="A328" s="198"/>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c r="A329" s="198"/>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c r="A330" s="198"/>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c r="A331" s="198"/>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c r="A332" s="198"/>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c r="A333" s="198"/>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c r="A334" s="198"/>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c r="A335" s="198"/>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c r="A336" s="198"/>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c r="A337" s="198"/>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c r="A338" s="198"/>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c r="A339" s="198"/>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c r="A340" s="198"/>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c r="A341" s="198"/>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c r="A342" s="198"/>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c r="A343" s="198"/>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c r="A344" s="198"/>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c r="A345" s="198"/>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c r="A346" s="198"/>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c r="A347" s="198"/>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c r="A348" s="198"/>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c r="A349" s="198"/>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c r="A350" s="198"/>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c r="A351" s="198"/>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c r="A352" s="198"/>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c r="A353" s="198"/>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c r="A354" s="198"/>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c r="A356" s="198"/>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c r="A357" s="198"/>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c r="A358" s="198"/>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c r="A359" s="198"/>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c r="A360" s="198"/>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c r="A361" s="198"/>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c r="A362" s="198"/>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c r="A363" s="198"/>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c r="A365" s="198"/>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c r="A366" s="198"/>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c r="A367" s="198"/>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c r="A368" s="198"/>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c r="A370" s="198"/>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c r="A371" s="198"/>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c r="A372" s="198"/>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c r="A373" s="198"/>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c r="A374" s="198"/>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c r="A375" s="198"/>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c r="A376" s="198"/>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c r="A377" s="198"/>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c r="A378" s="198"/>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c r="A380" s="198"/>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c r="A381" s="198"/>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c r="A382" s="198"/>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c r="A383" s="198"/>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c r="A384" s="198"/>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c r="A385" s="198"/>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c r="A387" s="198"/>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c r="A388" s="198"/>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c r="A389" s="198"/>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c r="A390" s="198"/>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c r="A391" s="198"/>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c r="A392" s="198"/>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c r="A394" s="198"/>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c r="A395" s="198"/>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c r="A396" s="198"/>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c r="A397" s="198"/>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c r="A398" s="198"/>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c r="A399" s="198"/>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c r="A400" s="198"/>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c r="A401" s="198"/>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c r="A402" s="198"/>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c r="A403" s="198"/>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c r="A404" s="198"/>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c r="A405" s="198"/>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c r="A406" s="198"/>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c r="A407" s="198"/>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c r="A408" s="198"/>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c r="A409" s="198"/>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c r="A410" s="198"/>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c r="A411" s="198"/>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c r="A412" s="198"/>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c r="A413" s="198"/>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c r="A414" s="198"/>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c r="A415" s="198"/>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c r="A416" s="198"/>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c r="A417" s="198"/>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c r="A418" s="198"/>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c r="A419" s="198"/>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c r="A420" s="198"/>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c r="A421" s="198"/>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c r="A422" s="198"/>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c r="A423" s="198"/>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c r="A424" s="198"/>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c r="A425" s="198"/>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c r="A426" s="198"/>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c r="A427" s="198"/>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c r="A428" s="198"/>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c r="A429" s="198"/>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c r="A430" s="198"/>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c r="A431" s="198"/>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c r="A432" s="198"/>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c r="A433" s="198"/>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c r="A434" s="198"/>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c r="A435" s="198"/>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c r="A436" s="198"/>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c r="A437" s="198"/>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c r="A438" s="198"/>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c r="A439" s="198"/>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c r="A440" s="198"/>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c r="A441" s="198"/>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c r="A442" s="198"/>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c r="A443" s="198"/>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c r="A444" s="198"/>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c r="A445" s="198"/>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c r="A446" s="198"/>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c r="A447" s="198"/>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c r="A448" s="198"/>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c r="A449" s="198"/>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c r="A450" s="198"/>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c r="A452" s="198"/>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c r="A453" s="198"/>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c r="A454" s="198"/>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c r="A455" s="198"/>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c r="A456" s="198"/>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c r="A457" s="198"/>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c r="A458" s="198"/>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c r="A459" s="198"/>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c r="A460" s="198"/>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c r="A461" s="198"/>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c r="A462" s="198"/>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c r="A464" s="198"/>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c r="A465" s="198"/>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c r="A466" s="198"/>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c r="A467" s="198"/>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c r="A468" s="198"/>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c r="A469" s="198"/>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c r="A470" s="198"/>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c r="A471" s="198"/>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c r="A472" s="198"/>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c r="A473" s="198"/>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c r="A474" s="198"/>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c r="A475" s="198"/>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c r="A476" s="198"/>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c r="A478" s="198"/>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c r="A479" s="198"/>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c r="A480" s="198"/>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c r="A481" s="198"/>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c r="A482" s="198"/>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c r="A483" s="198"/>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c r="A484" s="198"/>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c r="A485" s="198"/>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c r="A486" s="198"/>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c r="A487" s="198"/>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c r="A488" s="198"/>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c r="A490" s="198"/>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c r="A491" s="198"/>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c r="A492" s="198"/>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c r="A493" s="198"/>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c r="A494" s="198"/>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c r="A495" s="198"/>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c r="A496" s="198"/>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c r="A497" s="198"/>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c r="A498" s="198"/>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c r="A499" s="198"/>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c r="A500" s="198"/>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c r="A501" s="198"/>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c r="A502" s="198"/>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c r="A503" s="198"/>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c r="A504" s="198"/>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c r="A505" s="198"/>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c r="A506" s="198"/>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c r="A507" s="198"/>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c r="A508" s="198"/>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c r="A509" s="198"/>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c r="A510" s="198"/>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c r="A511" s="198"/>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c r="A512" s="198"/>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c r="A513" s="198"/>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c r="A514" s="198"/>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c r="A515" s="198"/>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c r="A516" s="198"/>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c r="A517" s="198"/>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c r="A518" s="198"/>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c r="A519" s="198"/>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c r="A520" s="198"/>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c r="A521" s="198"/>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c r="A522" s="198"/>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c r="A523" s="198"/>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c r="A524" s="198"/>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c r="A525" s="198"/>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c r="A526" s="198"/>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c r="A527" s="198"/>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c r="A529" s="198"/>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c r="A530" s="198"/>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c r="A531" s="198"/>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c r="A532" s="198"/>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c r="A533" s="198"/>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c r="A534" s="198"/>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c r="A535" s="198"/>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c r="A536" s="198"/>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c r="A537" s="198"/>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c r="A538" s="198"/>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c r="A539" s="198"/>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c r="A540" s="198"/>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c r="A541" s="198"/>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c r="A542" s="198"/>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c r="A543" s="198"/>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c r="A544" s="198"/>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c r="A545" s="198"/>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c r="A546" s="198"/>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c r="A547" s="198"/>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c r="A548" s="198"/>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c r="A549" s="198"/>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c r="A550" s="198"/>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c r="A551" s="198"/>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c r="A552" s="198"/>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c r="A553" s="198"/>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c r="A554" s="198"/>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c r="A555" s="198"/>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c r="A556" s="198"/>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c r="A557" s="198"/>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c r="A558" s="198"/>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c r="A559" s="198"/>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c r="A560" s="198"/>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c r="A561" s="198"/>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c r="A562" s="198"/>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c r="A563" s="198"/>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c r="A564" s="198"/>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c r="A565" s="198"/>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c r="A566" s="198"/>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c r="A567" s="198"/>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c r="A568" s="198"/>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c r="A569" s="198"/>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c r="A570" s="198"/>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c r="A571" s="198"/>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c r="A572" s="198"/>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c r="A573" s="198"/>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c r="A574" s="198"/>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c r="A575" s="198"/>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c r="A576" s="198"/>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c r="A577" s="198"/>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c r="A578" s="198"/>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c r="A579" s="198"/>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c r="A580" s="198"/>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c r="A581" s="198"/>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c r="A582" s="198"/>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c r="A583" s="198"/>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c r="A584" s="198"/>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c r="A585" s="198"/>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c r="A586" s="198"/>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c r="A587" s="198"/>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c r="A588" s="198"/>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c r="A589" s="198"/>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c r="A590" s="198"/>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c r="A591" s="198"/>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c r="A592" s="198"/>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c r="A593" s="198"/>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c r="A594" s="198"/>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c r="A595" s="198"/>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c r="A596" s="198"/>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c r="A597" s="198"/>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c r="A598" s="198"/>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c r="A600" s="198"/>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c r="A601" s="198"/>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c r="A602" s="198"/>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c r="A603" s="198"/>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c r="A604" s="198"/>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c r="A605" s="198"/>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c r="A606" s="198"/>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c r="A607" s="198"/>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c r="A608" s="198"/>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c r="A609" s="198"/>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c r="A610" s="198"/>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c r="A611" s="198"/>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c r="A612" s="198"/>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c r="A613" s="198"/>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c r="A614" s="198"/>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c r="A615" s="198"/>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c r="A616" s="198"/>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c r="A617" s="198"/>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c r="A618" s="198"/>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c r="A619" s="198"/>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c r="A620" s="198"/>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c r="A621" s="198"/>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c r="A622" s="198"/>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c r="A623" s="198"/>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c r="A624" s="198"/>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c r="A625" s="198"/>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c r="A626" s="198"/>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c r="A627" s="198"/>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c r="A628" s="198"/>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c r="A629" s="198"/>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c r="A630" s="198"/>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c r="A631" s="198"/>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c r="A632" s="198"/>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c r="A633" s="198"/>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c r="A634" s="198"/>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c r="A635" s="198"/>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c r="A636" s="198"/>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c r="A637" s="198"/>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c r="A638" s="198"/>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c r="A639" s="198"/>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c r="A640" s="198"/>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c r="A641" s="198"/>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c r="A642" s="198"/>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c r="A643" s="198"/>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c r="A644" s="198"/>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c r="A645" s="198"/>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c r="A646" s="198"/>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c r="A647" s="198"/>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c r="A648" s="198"/>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c r="A649" s="198"/>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c r="A650" s="198"/>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c r="A651" s="198"/>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c r="A652" s="198"/>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c r="A653" s="198"/>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c r="A654" s="198"/>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c r="A655" s="198"/>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c r="A656" s="198"/>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c r="A657" s="198"/>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c r="A658" s="198"/>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c r="A659" s="198"/>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c r="A660" s="198"/>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c r="A661" s="198"/>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c r="A662" s="198"/>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c r="A663" s="198"/>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c r="A664" s="198"/>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c r="A665" s="198"/>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c r="A666" s="198"/>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c r="A667" s="198"/>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c r="A668" s="198"/>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c r="A669" s="198"/>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c r="A670" s="198"/>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c r="A671" s="198"/>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c r="A672" s="198"/>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c r="A673" s="198"/>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c r="A674" s="198"/>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c r="A675" s="198"/>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c r="A676" s="198"/>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c r="A677" s="198"/>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c r="A678" s="198"/>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c r="A679" s="198"/>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c r="A680" s="198"/>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c r="A681" s="198"/>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c r="A682" s="198"/>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c r="A683" s="198"/>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c r="A684" s="198"/>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c r="A685" s="198"/>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c r="A686" s="198"/>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c r="A687" s="198"/>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c r="A688" s="198"/>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c r="A689" s="198"/>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c r="A690" s="198"/>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c r="A691" s="198"/>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c r="A692" s="198"/>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c r="A693" s="198"/>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c r="A694" s="198"/>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c r="A695" s="198"/>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c r="A696" s="198"/>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c r="A697" s="198"/>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c r="A698" s="198"/>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c r="A699" s="198"/>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c r="A700" s="198"/>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c r="A701" s="198"/>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c r="A702" s="198"/>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c r="A703" s="198"/>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c r="A704" s="198"/>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c r="A705" s="198"/>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c r="A706" s="198"/>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c r="A707" s="198"/>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c r="A708" s="198"/>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c r="A709" s="198"/>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c r="A710" s="198"/>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c r="A711" s="198"/>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c r="A712" s="198"/>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c r="A713" s="198"/>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c r="A714" s="198"/>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c r="A715" s="198"/>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c r="A716" s="198"/>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c r="A717" s="198"/>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c r="A718" s="198"/>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c r="A719" s="198"/>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c r="A720" s="198"/>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c r="A721" s="198"/>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c r="A722" s="198"/>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c r="A723" s="198"/>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c r="A724" s="198"/>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c r="A725" s="198"/>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c r="A726" s="198"/>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c r="A727" s="198"/>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c r="A728" s="198"/>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c r="A729" s="198"/>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c r="A730" s="198"/>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c r="A731" s="198"/>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c r="A732" s="198"/>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c r="A733" s="198"/>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c r="A734" s="198"/>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c r="A735" s="198"/>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c r="A736" s="198"/>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c r="A737" s="198"/>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c r="A738" s="198"/>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c r="A739" s="198"/>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c r="A740" s="198"/>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c r="A741" s="198"/>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c r="A742" s="198"/>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c r="A743" s="198"/>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c r="A744" s="198"/>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c r="A745" s="198"/>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c r="A746" s="198"/>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c r="A747" s="198"/>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c r="A748" s="198"/>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c r="A749" s="198"/>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c r="A750" s="198"/>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c r="A751" s="198"/>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c r="A752" s="198"/>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c r="A753" s="198"/>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c r="A754" s="198"/>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c r="A755" s="198"/>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c r="A756" s="198"/>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c r="A757" s="198"/>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c r="A758" s="198"/>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c r="A759" s="198"/>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c r="A760" s="198"/>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c r="A761" s="198"/>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c r="A762" s="198"/>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c r="A763" s="198"/>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c r="A764" s="198"/>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c r="A765" s="198"/>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c r="A766" s="198"/>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c r="A767" s="198"/>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c r="A768" s="198"/>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c r="A769" s="198"/>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c r="A770" s="198"/>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c r="A771" s="198"/>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c r="A772" s="198"/>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c r="A773" s="198"/>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c r="A774" s="198"/>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c r="A775" s="198"/>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c r="A776" s="198"/>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c r="A777" s="198"/>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c r="A778" s="198"/>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c r="A779" s="198"/>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c r="A780" s="198"/>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c r="A781" s="198"/>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c r="A782" s="198"/>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c r="A783" s="198"/>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c r="A784" s="198"/>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c r="A785" s="198"/>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c r="A786" s="198"/>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c r="A787" s="198"/>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c r="A788" s="198"/>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c r="A789" s="198"/>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c r="A790" s="198"/>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c r="A791" s="198"/>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c r="A792" s="198"/>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c r="A793" s="198"/>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c r="A794" s="198"/>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c r="A795" s="198"/>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c r="A796" s="198"/>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c r="A797" s="198"/>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c r="A798" s="198"/>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c r="A799" s="198"/>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c r="A800" s="198"/>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c r="A801" s="198"/>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c r="A802" s="198"/>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c r="A803" s="198"/>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c r="A804" s="198"/>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c r="A805" s="198"/>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c r="A806" s="198"/>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c r="A807" s="198"/>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c r="A808" s="198"/>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c r="A809" s="198"/>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c r="A810" s="198"/>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c r="A811" s="198"/>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c r="A812" s="198"/>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c r="A813" s="198"/>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c r="A814" s="198"/>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c r="A815" s="198"/>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c r="A816" s="198"/>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c r="A817" s="198"/>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c r="A818" s="198"/>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c r="A819" s="198"/>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c r="A820" s="198"/>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c r="A821" s="198"/>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c r="A822" s="198"/>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c r="A823" s="198"/>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c r="A824" s="198"/>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c r="A825" s="198"/>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c r="A826" s="198"/>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c r="A827" s="198"/>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c r="A828" s="198"/>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c r="A829" s="198"/>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c r="A830" s="198"/>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c r="A831" s="198"/>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c r="A832" s="198"/>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c r="A833" s="198"/>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c r="A834" s="198"/>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c r="A835" s="198"/>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c r="A836" s="198"/>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c r="A837" s="198"/>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c r="A838" s="198"/>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c r="A839" s="198"/>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c r="A840" s="198"/>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c r="A841" s="198"/>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c r="A842" s="198"/>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c r="A843" s="198"/>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c r="A844" s="198"/>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c r="A845" s="198"/>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c r="A846" s="198"/>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c r="A847" s="198"/>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c r="A848" s="198"/>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c r="A849" s="198"/>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c r="A850" s="198"/>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c r="A851" s="198"/>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c r="A852" s="198"/>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c r="A853" s="198"/>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c r="A854" s="198"/>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c r="A855" s="198"/>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c r="A856" s="198"/>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c r="A857" s="198"/>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c r="A858" s="198"/>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c r="A859" s="198"/>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c r="A860" s="198"/>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c r="A861" s="198"/>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c r="A862" s="198"/>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c r="A863" s="198"/>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c r="A864" s="198"/>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c r="A865" s="198"/>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c r="A866" s="198"/>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c r="A867" s="198"/>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c r="A868" s="198"/>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c r="A869" s="198"/>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c r="A870" s="198"/>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c r="A871" s="198"/>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c r="A872" s="198"/>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c r="A873" s="198"/>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c r="A874" s="198"/>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c r="A875" s="198"/>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c r="A876" s="198"/>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c r="A877" s="198"/>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c r="A878" s="198"/>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c r="A879" s="198"/>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c r="A880" s="198"/>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c r="A881" s="198"/>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c r="A882" s="198"/>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c r="A883" s="198"/>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c r="A884" s="198"/>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c r="A885" s="198"/>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c r="A886" s="198"/>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c r="A887" s="198"/>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c r="A888" s="198"/>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c r="A889" s="198"/>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c r="A890" s="198"/>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c r="A891" s="198"/>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c r="A892" s="198"/>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c r="A893" s="198"/>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c r="A894" s="198"/>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c r="A895" s="198"/>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c r="A896" s="198"/>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c r="A897" s="198"/>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c r="A898" s="198"/>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c r="A899" s="198"/>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c r="A900" s="198"/>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c r="A901" s="198"/>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c r="A902" s="198"/>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c r="A903" s="198"/>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c r="A904" s="198"/>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c r="A905" s="198"/>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c r="A906" s="198"/>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c r="A907" s="198"/>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c r="A908" s="198"/>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c r="A909" s="198"/>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c r="A910" s="198"/>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c r="A911" s="198"/>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c r="A912" s="198"/>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c r="A913" s="198"/>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c r="A914" s="198"/>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c r="A915" s="198"/>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c r="A916" s="198"/>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c r="A917" s="198"/>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c r="A918" s="198"/>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c r="A919" s="198"/>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c r="A920" s="198"/>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c r="A921" s="198"/>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c r="A922" s="198"/>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c r="A923" s="198"/>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c r="A924" s="198"/>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c r="A925" s="198"/>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c r="A926" s="198"/>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c r="A927" s="198"/>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c r="A928" s="198"/>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c r="A929" s="198"/>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c r="A930" s="198"/>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c r="A931" s="198"/>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c r="A932" s="198"/>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c r="A933" s="198"/>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c r="A934" s="198"/>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c r="A935" s="198"/>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c r="A936" s="198"/>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c r="A937" s="198"/>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c r="A938" s="198"/>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c r="A939" s="198"/>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c r="A940" s="198"/>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c r="A941" s="198"/>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c r="A942" s="198"/>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c r="A943" s="198"/>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c r="A944" s="198"/>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c r="A945" s="198"/>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c r="A946" s="198"/>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c r="A947" s="198"/>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c r="A948" s="198"/>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c r="A949" s="198"/>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c r="A950" s="198"/>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c r="A951" s="198"/>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c r="A952" s="198"/>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c r="A953" s="198"/>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c r="A954" s="198"/>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c r="A955" s="198"/>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c r="A956" s="198"/>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c r="A957" s="198"/>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c r="A958" s="198"/>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c r="A959" s="198"/>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c r="A960" s="198"/>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c r="A961" s="198"/>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c r="A962" s="198"/>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c r="A963" s="198"/>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c r="A964" s="198"/>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c r="A965" s="198"/>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c r="A966" s="198"/>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c r="A967" s="198"/>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c r="A968" s="198"/>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c r="A969" s="198"/>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c r="A970" s="198"/>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c r="A971" s="198"/>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c r="A972" s="198"/>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c r="A973" s="198"/>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c r="A974" s="198"/>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c r="A975" s="198"/>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c r="A976" s="198"/>
      <c r="B976" s="198"/>
      <c r="C976" s="198"/>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c r="A977" s="198"/>
      <c r="B977" s="198"/>
      <c r="C977" s="198"/>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c r="A978" s="198"/>
      <c r="B978" s="198"/>
      <c r="C978" s="198"/>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c r="A979" s="198"/>
      <c r="B979" s="198"/>
      <c r="C979" s="198"/>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c r="A980" s="198"/>
      <c r="B980" s="198"/>
      <c r="C980" s="198"/>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c r="A981" s="198"/>
      <c r="B981" s="198"/>
      <c r="C981" s="198"/>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c r="A982" s="198"/>
      <c r="B982" s="198"/>
      <c r="C982" s="198"/>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c r="A983" s="198"/>
      <c r="B983" s="198"/>
      <c r="C983" s="198"/>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c r="A984" s="198"/>
      <c r="B984" s="198"/>
      <c r="C984" s="198"/>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c r="A985" s="198"/>
      <c r="B985" s="198"/>
      <c r="C985" s="198"/>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c r="A986" s="198"/>
      <c r="B986" s="198"/>
      <c r="C986" s="198"/>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c r="A987" s="198"/>
      <c r="B987" s="198"/>
      <c r="C987" s="198"/>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c r="A988" s="198"/>
      <c r="B988" s="198"/>
      <c r="C988" s="198"/>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c r="A989" s="198"/>
      <c r="B989" s="198"/>
      <c r="C989" s="198"/>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c r="A990" s="198"/>
      <c r="B990" s="198"/>
      <c r="C990" s="198"/>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c r="A991" s="198"/>
      <c r="B991" s="198"/>
      <c r="C991" s="198"/>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c r="A992" s="198"/>
      <c r="B992" s="198"/>
      <c r="C992" s="198"/>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c r="A993" s="198"/>
      <c r="B993" s="198"/>
      <c r="C993" s="198"/>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c r="A994" s="198"/>
      <c r="B994" s="198"/>
      <c r="C994" s="198"/>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c r="A995" s="198"/>
      <c r="B995" s="198"/>
      <c r="C995" s="198"/>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c r="A996" s="198"/>
      <c r="B996" s="198"/>
      <c r="C996" s="198"/>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c r="A997" s="198"/>
      <c r="B997" s="198"/>
      <c r="C997" s="198"/>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c r="A998" s="198"/>
      <c r="B998" s="198"/>
      <c r="C998" s="198"/>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c r="A999" s="198"/>
      <c r="B999" s="198"/>
      <c r="C999" s="198"/>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sheetData>
  <mergeCells count="12">
    <mergeCell ref="F16:L16"/>
    <mergeCell ref="F18:L18"/>
    <mergeCell ref="F24:L24"/>
    <mergeCell ref="F28:L28"/>
    <mergeCell ref="F32:L32"/>
    <mergeCell ref="A1:E1"/>
    <mergeCell ref="A9:D9"/>
    <mergeCell ref="A10:D10"/>
    <mergeCell ref="A11:D11"/>
    <mergeCell ref="A12:D12"/>
    <mergeCell ref="A13:D13"/>
    <mergeCell ref="A14:D14"/>
  </mergeCells>
  <drawing r:id="rId1"/>
</worksheet>
</file>