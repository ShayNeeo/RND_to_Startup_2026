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ông tin vắn tắt về các thành " sheetId="1" state="visible" r:id="rId1"/>
    <sheet xmlns:r="http://schemas.openxmlformats.org/officeDocument/2006/relationships" name="Business Model Canvas" sheetId="2" state="visible" r:id="rId2"/>
    <sheet xmlns:r="http://schemas.openxmlformats.org/officeDocument/2006/relationships" name="Tài Chính " sheetId="3" state="visible" r:id="rId3"/>
    <sheet xmlns:r="http://schemas.openxmlformats.org/officeDocument/2006/relationships" name="CAPEX" sheetId="4" state="visible" r:id="rId4"/>
    <sheet xmlns:r="http://schemas.openxmlformats.org/officeDocument/2006/relationships" name="Tài Chính 2" sheetId="5" state="visible" r:id="rId5"/>
    <sheet xmlns:r="http://schemas.openxmlformats.org/officeDocument/2006/relationships" name="Revenue forecasts" sheetId="6" state="visible" r:id="rId6"/>
    <sheet xmlns:r="http://schemas.openxmlformats.org/officeDocument/2006/relationships" name="DEPRECIATION " sheetId="7" state="visible" r:id="rId7"/>
    <sheet xmlns:r="http://schemas.openxmlformats.org/officeDocument/2006/relationships" name="OPEX" sheetId="8" state="visible" r:id="rId8"/>
    <sheet xmlns:r="http://schemas.openxmlformats.org/officeDocument/2006/relationships" name="FIXED COST" sheetId="9" state="visible" r:id="rId9"/>
    <sheet xmlns:r="http://schemas.openxmlformats.org/officeDocument/2006/relationships" name="VARIABLE COST" sheetId="10" state="visible" r:id="rId10"/>
    <sheet xmlns:r="http://schemas.openxmlformats.org/officeDocument/2006/relationships" name="INCOME STATEMENT" sheetId="11" state="visible" r:id="rId11"/>
    <sheet xmlns:r="http://schemas.openxmlformats.org/officeDocument/2006/relationships" name="CASH FLOW" sheetId="12" state="visible" r:id="rId12"/>
  </sheets>
  <definedNames/>
  <calcPr calcId="124519" fullCalcOnLoad="1"/>
</workbook>
</file>

<file path=xl/styles.xml><?xml version="1.0" encoding="utf-8"?>
<styleSheet xmlns="http://schemas.openxmlformats.org/spreadsheetml/2006/main">
  <numFmts count="5">
    <numFmt numFmtId="164" formatCode="#,##0\ [$đ-42A]"/>
    <numFmt numFmtId="165" formatCode="#,##0[$ ₫]"/>
    <numFmt numFmtId="166" formatCode="#,##0.000[$ ₫]"/>
    <numFmt numFmtId="167" formatCode="#,##0.00\ [$đ-42A]"/>
    <numFmt numFmtId="168" formatCode="#,##0;(#,##0)"/>
  </numFmts>
  <fonts count="23">
    <font>
      <name val="Arial"/>
      <color rgb="FF000000"/>
      <sz val="10"/>
      <scheme val="minor"/>
    </font>
    <font>
      <name val="'Times New Roman'"/>
      <b val="1"/>
      <color rgb="FF000000"/>
      <sz val="12"/>
    </font>
    <font>
      <name val="Times New Roman"/>
      <b val="1"/>
      <color theme="1"/>
    </font>
    <font>
      <name val="Times New Roman"/>
      <color rgb="FF000000"/>
      <sz val="12"/>
    </font>
    <font>
      <name val="Times New Roman"/>
      <b val="1"/>
      <color rgb="FF222222"/>
      <sz val="10"/>
    </font>
    <font>
      <name val="Times New Roman"/>
      <color theme="1"/>
      <sz val="12"/>
    </font>
    <font>
      <name val="Times New Roman"/>
      <color theme="1"/>
    </font>
    <font/>
    <font>
      <name val="Arial"/>
      <color theme="1"/>
      <sz val="10"/>
      <scheme val="minor"/>
    </font>
    <font>
      <name val="Times New Roman"/>
      <b val="1"/>
      <color rgb="FF000000"/>
      <sz val="12"/>
    </font>
    <font>
      <name val="Times New Roman"/>
      <b val="1"/>
      <color theme="1"/>
      <sz val="10"/>
    </font>
    <font>
      <name val="Times New Roman"/>
      <color theme="1"/>
      <sz val="10"/>
    </font>
    <font>
      <name val="Times New Roman"/>
      <b val="1"/>
      <color rgb="FF000000"/>
      <sz val="10"/>
    </font>
    <font>
      <name val="'Times New Roman'"/>
      <b val="1"/>
      <color rgb="FF1F1F1F"/>
      <sz val="10"/>
    </font>
    <font>
      <name val="'Times New Roman'"/>
      <color rgb="FF1F1F1F"/>
      <sz val="10"/>
    </font>
    <font>
      <name val="'Times New Roman'"/>
      <color rgb="FF000000"/>
      <sz val="12"/>
    </font>
    <font>
      <name val="'Times New Roman'"/>
      <color rgb="FF000000"/>
      <sz val="10"/>
    </font>
    <font>
      <name val="Arial"/>
      <color theme="1"/>
      <sz val="10"/>
    </font>
    <font>
      <name val="Times New Roman"/>
      <color rgb="FF0000FF"/>
      <u val="single"/>
    </font>
    <font>
      <name val="Arial"/>
      <color theme="1"/>
      <scheme val="minor"/>
    </font>
    <font>
      <name val="'Times New Roman'"/>
      <color rgb="FF000000"/>
      <sz val="11"/>
    </font>
    <font>
      <name val="Arial"/>
      <color rgb="FF000000"/>
      <sz val="10"/>
    </font>
    <font>
      <name val="Times New Roman"/>
      <color rgb="FF000000"/>
      <sz val="10"/>
    </font>
  </fonts>
  <fills count="3">
    <fill>
      <patternFill/>
    </fill>
    <fill>
      <patternFill patternType="lightGray"/>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numFmtId="0" fontId="0" fillId="0" borderId="0"/>
  </cellStyleXfs>
  <cellXfs count="141">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2" applyAlignment="1" pivotButton="0" quotePrefix="0" xfId="0">
      <alignment horizontal="center" vertical="center"/>
    </xf>
    <xf numFmtId="0" fontId="5" fillId="0" borderId="1" applyAlignment="1" pivotButton="0" quotePrefix="0" xfId="0">
      <alignment horizontal="center" vertical="center" wrapText="1"/>
    </xf>
    <xf numFmtId="0" fontId="6" fillId="0" borderId="0" applyAlignment="1" pivotButton="0" quotePrefix="0" xfId="0">
      <alignment vertical="center"/>
    </xf>
    <xf numFmtId="0" fontId="7" fillId="0" borderId="3" pivotButton="0" quotePrefix="0" xfId="0"/>
    <xf numFmtId="0" fontId="5" fillId="0" borderId="1" applyAlignment="1" pivotButton="0" quotePrefix="0" xfId="0">
      <alignment horizontal="center" vertical="center" wrapText="1"/>
    </xf>
    <xf numFmtId="0" fontId="6" fillId="0" borderId="0" applyAlignment="1" pivotButton="0" quotePrefix="0" xfId="0">
      <alignment horizontal="center" vertical="center"/>
    </xf>
    <xf numFmtId="0" fontId="7" fillId="0" borderId="4" pivotButton="0" quotePrefix="0" xfId="0"/>
    <xf numFmtId="0" fontId="6" fillId="0" borderId="0" applyAlignment="1" pivotButton="0" quotePrefix="0" xfId="0">
      <alignment vertical="center" wrapText="1"/>
    </xf>
    <xf numFmtId="0" fontId="8" fillId="0" borderId="0" pivotButton="0" quotePrefix="0" xfId="0"/>
    <xf numFmtId="0" fontId="9" fillId="2" borderId="2" applyAlignment="1" pivotButton="0" quotePrefix="0" xfId="0">
      <alignment horizontal="center" vertical="center" wrapText="1"/>
    </xf>
    <xf numFmtId="0" fontId="10" fillId="0" borderId="1" applyAlignment="1" pivotButton="0" quotePrefix="0" xfId="0">
      <alignment horizontal="center" vertical="center"/>
    </xf>
    <xf numFmtId="0" fontId="8" fillId="0" borderId="0" applyAlignment="1" pivotButton="0" quotePrefix="0" xfId="0">
      <alignment wrapText="1"/>
    </xf>
    <xf numFmtId="0" fontId="6" fillId="0" borderId="5" applyAlignment="1" pivotButton="0" quotePrefix="0" xfId="0">
      <alignment vertical="center"/>
    </xf>
    <xf numFmtId="0" fontId="11" fillId="0" borderId="1" applyAlignment="1" pivotButton="0" quotePrefix="0" xfId="0">
      <alignment horizontal="center" vertical="center" wrapText="1"/>
    </xf>
    <xf numFmtId="0" fontId="11" fillId="0" borderId="1" applyAlignment="1" pivotButton="0" quotePrefix="0" xfId="0">
      <alignment horizontal="center" vertical="center"/>
    </xf>
    <xf numFmtId="0" fontId="6" fillId="0" borderId="1" applyAlignment="1" pivotButton="0" quotePrefix="0" xfId="0">
      <alignment vertical="center"/>
    </xf>
    <xf numFmtId="0" fontId="12" fillId="2" borderId="2" applyAlignment="1" pivotButton="0" quotePrefix="0" xfId="0">
      <alignment horizontal="center" wrapText="1"/>
    </xf>
    <xf numFmtId="0" fontId="7" fillId="0" borderId="6" pivotButton="0" quotePrefix="0" xfId="0"/>
    <xf numFmtId="0" fontId="10" fillId="0" borderId="2" applyAlignment="1" pivotButton="0" quotePrefix="0" xfId="0">
      <alignment horizontal="center" vertical="center"/>
    </xf>
    <xf numFmtId="3" fontId="12" fillId="2" borderId="1" applyAlignment="1" pivotButton="0" quotePrefix="0" xfId="0">
      <alignment horizontal="center" wrapText="1"/>
    </xf>
    <xf numFmtId="164" fontId="12" fillId="2" borderId="1" applyAlignment="1" pivotButton="0" quotePrefix="0" xfId="0">
      <alignment horizontal="center" wrapText="1"/>
    </xf>
    <xf numFmtId="0" fontId="11" fillId="0" borderId="2" applyAlignment="1" pivotButton="0" quotePrefix="0" xfId="0">
      <alignment horizontal="center" vertical="center"/>
    </xf>
    <xf numFmtId="0" fontId="2" fillId="0" borderId="2" applyAlignment="1" pivotButton="0" quotePrefix="0" xfId="0">
      <alignment horizontal="center" vertical="center"/>
    </xf>
    <xf numFmtId="0" fontId="12" fillId="2" borderId="1" applyAlignment="1" pivotButton="0" quotePrefix="0" xfId="0">
      <alignment horizontal="center" wrapText="1"/>
    </xf>
    <xf numFmtId="0"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0" fillId="0" borderId="2" applyAlignment="1" pivotButton="0" quotePrefix="0" xfId="0">
      <alignment vertical="center" wrapText="1"/>
    </xf>
    <xf numFmtId="0" fontId="2" fillId="0" borderId="1" applyAlignment="1" pivotButton="0" quotePrefix="0" xfId="0">
      <alignment horizontal="center" vertical="center" wrapText="1"/>
    </xf>
    <xf numFmtId="0" fontId="11" fillId="0" borderId="2" applyAlignment="1" pivotButton="0" quotePrefix="0" xfId="0">
      <alignment vertical="center" wrapText="1"/>
    </xf>
    <xf numFmtId="0" fontId="11" fillId="0" borderId="1" applyAlignment="1" pivotButton="0" quotePrefix="0" xfId="0">
      <alignment vertical="center" wrapText="1"/>
    </xf>
    <xf numFmtId="0" fontId="14" fillId="0" borderId="1" applyAlignment="1" pivotButton="0" quotePrefix="0" xfId="0">
      <alignment horizontal="center" vertical="center" wrapText="1"/>
    </xf>
    <xf numFmtId="0" fontId="7" fillId="0" borderId="7" pivotButton="0" quotePrefix="0" xfId="0"/>
    <xf numFmtId="0" fontId="6" fillId="0" borderId="1" applyAlignment="1" pivotButton="0" quotePrefix="0" xfId="0">
      <alignment vertical="center"/>
    </xf>
    <xf numFmtId="0" fontId="6" fillId="0" borderId="1" applyAlignment="1" pivotButton="0" quotePrefix="0" xfId="0">
      <alignment horizontal="center" vertical="center"/>
    </xf>
    <xf numFmtId="0" fontId="6" fillId="0" borderId="1" applyAlignment="1" pivotButton="0" quotePrefix="0" xfId="0">
      <alignment horizontal="left" vertical="center" wrapText="1"/>
    </xf>
    <xf numFmtId="165" fontId="6" fillId="0" borderId="1" applyAlignment="1" pivotButton="0" quotePrefix="0" xfId="0">
      <alignment vertical="center"/>
    </xf>
    <xf numFmtId="165" fontId="6" fillId="0" borderId="1" applyAlignment="1" pivotButton="0" quotePrefix="0" xfId="0">
      <alignment horizontal="center" vertical="center"/>
    </xf>
    <xf numFmtId="0" fontId="6" fillId="0" borderId="0" applyAlignment="1" pivotButton="0" quotePrefix="0" xfId="0">
      <alignment vertical="center" wrapText="1"/>
    </xf>
    <xf numFmtId="0" fontId="15" fillId="0" borderId="0" applyAlignment="1" pivotButton="0" quotePrefix="0" xfId="0">
      <alignment vertical="top" wrapText="1"/>
    </xf>
    <xf numFmtId="0" fontId="11" fillId="0" borderId="1" applyAlignment="1" pivotButton="0" quotePrefix="0" xfId="0">
      <alignment horizontal="center" vertical="center" wrapText="1"/>
    </xf>
    <xf numFmtId="165" fontId="11" fillId="0" borderId="1" applyAlignment="1" pivotButton="0" quotePrefix="0" xfId="0">
      <alignment horizontal="center" vertical="center" wrapText="1"/>
    </xf>
    <xf numFmtId="0" fontId="13" fillId="0" borderId="2" applyAlignment="1" pivotButton="0" quotePrefix="0" xfId="0">
      <alignment horizontal="center" vertical="center" wrapText="1"/>
    </xf>
    <xf numFmtId="165" fontId="11" fillId="0" borderId="1" applyAlignment="1" pivotButton="0" quotePrefix="0" xfId="0">
      <alignment horizontal="center" vertical="center" wrapText="1"/>
    </xf>
    <xf numFmtId="166" fontId="11" fillId="0" borderId="1" applyAlignment="1" pivotButton="0" quotePrefix="0" xfId="0">
      <alignment horizontal="center" vertical="center" wrapText="1"/>
    </xf>
    <xf numFmtId="166" fontId="11" fillId="0" borderId="1" applyAlignment="1" pivotButton="0" quotePrefix="0" xfId="0">
      <alignment horizontal="center" vertical="center" wrapText="1"/>
    </xf>
    <xf numFmtId="9" fontId="14" fillId="0" borderId="1" applyAlignment="1" pivotButton="0" quotePrefix="0" xfId="0">
      <alignment horizontal="center" vertical="center" wrapText="1"/>
    </xf>
    <xf numFmtId="3"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vertical="center"/>
    </xf>
    <xf numFmtId="0" fontId="6" fillId="0" borderId="0" applyAlignment="1" pivotButton="0" quotePrefix="0" xfId="0">
      <alignment wrapText="1"/>
    </xf>
    <xf numFmtId="0" fontId="15" fillId="0" borderId="2" applyAlignment="1" pivotButton="0" quotePrefix="0" xfId="0">
      <alignment horizontal="left" vertical="center" wrapText="1"/>
    </xf>
    <xf numFmtId="0" fontId="18" fillId="0" borderId="0" applyAlignment="1" pivotButton="0" quotePrefix="0" xfId="0">
      <alignment vertical="center" wrapText="1"/>
    </xf>
    <xf numFmtId="0" fontId="15" fillId="0" borderId="1" applyAlignment="1" pivotButton="0" quotePrefix="0" xfId="0">
      <alignment horizontal="center" vertical="center" wrapText="1"/>
    </xf>
    <xf numFmtId="0" fontId="15" fillId="0" borderId="1" applyAlignment="1" pivotButton="0" quotePrefix="0" xfId="0">
      <alignment horizontal="left" vertical="center" wrapText="1"/>
    </xf>
    <xf numFmtId="0" fontId="11" fillId="0" borderId="0" applyAlignment="1" pivotButton="0" quotePrefix="0" xfId="0">
      <alignment horizontal="center" vertical="center" wrapText="1"/>
    </xf>
    <xf numFmtId="0" fontId="11" fillId="0" borderId="1" applyAlignment="1" pivotButton="0" quotePrefix="0" xfId="0">
      <alignment horizontal="left" vertical="center" wrapText="1"/>
    </xf>
    <xf numFmtId="0" fontId="19" fillId="0" borderId="0" applyAlignment="1" pivotButton="0" quotePrefix="0" xfId="0">
      <alignment horizontal="left"/>
    </xf>
    <xf numFmtId="0" fontId="15" fillId="0" borderId="0" applyAlignment="1" pivotButton="0" quotePrefix="0" xfId="0">
      <alignment horizontal="left" wrapText="1"/>
    </xf>
    <xf numFmtId="0" fontId="19" fillId="0" borderId="0" applyAlignment="1" pivotButton="0" quotePrefix="0" xfId="0">
      <alignment horizontal="left" vertical="bottom" wrapText="1"/>
    </xf>
    <xf numFmtId="0" fontId="15" fillId="0" borderId="0" applyAlignment="1" pivotButton="0" quotePrefix="0" xfId="0">
      <alignment horizontal="center" wrapText="1"/>
    </xf>
    <xf numFmtId="0" fontId="20" fillId="0" borderId="0" pivotButton="0" quotePrefix="0" xfId="0"/>
    <xf numFmtId="0" fontId="12" fillId="0" borderId="2" applyAlignment="1" pivotButton="0" quotePrefix="0" xfId="0">
      <alignment horizontal="center"/>
    </xf>
    <xf numFmtId="0" fontId="12" fillId="0" borderId="1" applyAlignment="1" pivotButton="0" quotePrefix="0" xfId="0">
      <alignment horizontal="center"/>
    </xf>
    <xf numFmtId="167" fontId="12" fillId="0"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0" fontId="9" fillId="0" borderId="2" applyAlignment="1" pivotButton="0" quotePrefix="0" xfId="0">
      <alignment horizontal="center"/>
    </xf>
    <xf numFmtId="3" fontId="9" fillId="0" borderId="1" applyAlignment="1" pivotButton="0" quotePrefix="0" xfId="0">
      <alignment horizontal="center"/>
    </xf>
    <xf numFmtId="0" fontId="12" fillId="0" borderId="8" applyAlignment="1" pivotButton="0" quotePrefix="0" xfId="0">
      <alignment horizontal="center" vertical="bottom"/>
    </xf>
    <xf numFmtId="0" fontId="7" fillId="0" borderId="9" pivotButton="0" quotePrefix="0" xfId="0"/>
    <xf numFmtId="0" fontId="7" fillId="0" borderId="10" pivotButton="0" quotePrefix="0" xfId="0"/>
    <xf numFmtId="0" fontId="12" fillId="0" borderId="1" applyAlignment="1" pivotButton="0" quotePrefix="0" xfId="0">
      <alignment horizontal="center" vertical="bottom"/>
    </xf>
    <xf numFmtId="0" fontId="12" fillId="0" borderId="2" applyAlignment="1" pivotButton="0" quotePrefix="0" xfId="0">
      <alignment horizontal="center" vertical="center"/>
    </xf>
    <xf numFmtId="0" fontId="12" fillId="0" borderId="1" applyAlignment="1" pivotButton="0" quotePrefix="0" xfId="0">
      <alignment horizontal="center" vertical="center"/>
    </xf>
    <xf numFmtId="3" fontId="12" fillId="0" borderId="1" applyAlignment="1" pivotButton="0" quotePrefix="0" xfId="0">
      <alignment horizontal="center" vertical="center"/>
    </xf>
    <xf numFmtId="164" fontId="12" fillId="0" borderId="1" applyAlignment="1" pivotButton="0" quotePrefix="0" xfId="0">
      <alignment horizontal="center" vertical="center"/>
    </xf>
    <xf numFmtId="0" fontId="12" fillId="0" borderId="2" applyAlignment="1" pivotButton="0" quotePrefix="0" xfId="0">
      <alignment horizontal="center" vertical="bottom"/>
    </xf>
    <xf numFmtId="0" fontId="0" fillId="0" borderId="0" pivotButton="0" quotePrefix="0" xfId="0"/>
    <xf numFmtId="0" fontId="21" fillId="0" borderId="2" applyAlignment="1" pivotButton="0" quotePrefix="0" xfId="0">
      <alignment vertical="bottom"/>
    </xf>
    <xf numFmtId="0" fontId="12" fillId="0" borderId="4" applyAlignment="1" pivotButton="0" quotePrefix="0" xfId="0">
      <alignment horizontal="center" vertical="bottom"/>
    </xf>
    <xf numFmtId="0" fontId="12" fillId="0" borderId="5" applyAlignment="1" pivotButton="0" quotePrefix="0" xfId="0">
      <alignment horizontal="center"/>
    </xf>
    <xf numFmtId="3" fontId="12" fillId="0" borderId="1" applyAlignment="1" pivotButton="0" quotePrefix="0" xfId="0">
      <alignment horizontal="center" vertical="bottom"/>
    </xf>
    <xf numFmtId="164" fontId="12" fillId="0" borderId="1" applyAlignment="1" pivotButton="0" quotePrefix="0" xfId="0">
      <alignment horizontal="center" vertical="bottom"/>
    </xf>
    <xf numFmtId="0" fontId="12" fillId="0" borderId="2" applyAlignment="1" pivotButton="0" quotePrefix="0" xfId="0">
      <alignment horizontal="center"/>
    </xf>
    <xf numFmtId="164" fontId="12" fillId="0" borderId="1" applyAlignment="1" pivotButton="0" quotePrefix="0" xfId="0">
      <alignment horizontal="center"/>
    </xf>
    <xf numFmtId="0" fontId="12" fillId="0" borderId="0" applyAlignment="1" pivotButton="0" quotePrefix="0" xfId="0">
      <alignment horizontal="center"/>
    </xf>
    <xf numFmtId="3" fontId="22" fillId="0" borderId="1" applyAlignment="1" pivotButton="0" quotePrefix="0" xfId="0">
      <alignment horizontal="center"/>
    </xf>
    <xf numFmtId="167" fontId="22" fillId="0" borderId="1" pivotButton="0" quotePrefix="0" xfId="0"/>
    <xf numFmtId="3" fontId="12" fillId="0" borderId="1" applyAlignment="1" pivotButton="0" quotePrefix="0" xfId="0">
      <alignment horizontal="center"/>
    </xf>
    <xf numFmtId="164" fontId="22" fillId="0" borderId="1" pivotButton="0" quotePrefix="0" xfId="0"/>
    <xf numFmtId="168" fontId="22" fillId="0" borderId="1" applyAlignment="1" pivotButton="0" quotePrefix="0" xfId="0">
      <alignment horizontal="center"/>
    </xf>
    <xf numFmtId="168" fontId="12" fillId="0" borderId="1" applyAlignment="1" pivotButton="0" quotePrefix="0" xfId="0">
      <alignment horizontal="center"/>
    </xf>
    <xf numFmtId="3" fontId="21" fillId="0" borderId="1" pivotButton="0" quotePrefix="0" xfId="0"/>
    <xf numFmtId="0" fontId="21" fillId="0" borderId="0" applyAlignment="1" pivotButton="0" quotePrefix="0" xfId="0">
      <alignment vertical="bottom"/>
    </xf>
    <xf numFmtId="0" fontId="22" fillId="0" borderId="1" applyAlignment="1" pivotButton="0" quotePrefix="0" xfId="0">
      <alignment horizontal="center"/>
    </xf>
    <xf numFmtId="168" fontId="22" fillId="0" borderId="1" applyAlignment="1" pivotButton="0" quotePrefix="0" xfId="0">
      <alignment horizontal="center" vertical="bottom"/>
    </xf>
    <xf numFmtId="0" fontId="22" fillId="0" borderId="1" pivotButton="0" quotePrefix="0" xfId="0"/>
    <xf numFmtId="10" fontId="12" fillId="0" borderId="1" applyAlignment="1" pivotButton="0" quotePrefix="0" xfId="0">
      <alignment horizontal="center"/>
    </xf>
    <xf numFmtId="0" fontId="19" fillId="0" borderId="0" applyAlignment="1" pivotButton="0" quotePrefix="0" xfId="0">
      <alignment wrapText="1"/>
    </xf>
    <xf numFmtId="0" fontId="12" fillId="0" borderId="2" applyAlignment="1" pivotButton="0" quotePrefix="0" xfId="0">
      <alignment vertical="top"/>
    </xf>
    <xf numFmtId="9" fontId="22" fillId="0" borderId="1" applyAlignment="1" pivotButton="0" quotePrefix="0" xfId="0">
      <alignment horizontal="center" vertical="bottom"/>
    </xf>
    <xf numFmtId="164" fontId="12" fillId="0" borderId="1" applyAlignment="1" pivotButton="0" quotePrefix="0" xfId="0">
      <alignment horizontal="center" vertical="bottom"/>
    </xf>
    <xf numFmtId="2" fontId="12" fillId="0" borderId="1" applyAlignment="1" pivotButton="0" quotePrefix="0" xfId="0">
      <alignment horizontal="center" vertical="bottom"/>
    </xf>
    <xf numFmtId="0" fontId="12" fillId="0" borderId="2" applyAlignment="1" pivotButton="0" quotePrefix="0" xfId="0">
      <alignment vertical="bottom"/>
    </xf>
    <xf numFmtId="165" fontId="12" fillId="0" borderId="1" applyAlignment="1" pivotButton="0" quotePrefix="0" xfId="0">
      <alignment horizontal="center" vertical="bottom"/>
    </xf>
    <xf numFmtId="165" fontId="12" fillId="0" borderId="2" applyAlignment="1" pivotButton="0" quotePrefix="0" xfId="0">
      <alignment vertical="bottom"/>
    </xf>
    <xf numFmtId="9" fontId="12" fillId="0" borderId="1" applyAlignment="1" pivotButton="0" quotePrefix="0" xfId="0">
      <alignment horizontal="center" vertical="bottom"/>
    </xf>
    <xf numFmtId="0" fontId="12" fillId="0" borderId="8" applyAlignment="1" pivotButton="0" quotePrefix="0" xfId="0">
      <alignment horizontal="center"/>
    </xf>
    <xf numFmtId="164" fontId="22" fillId="0" borderId="1" applyAlignment="1" pivotButton="0" quotePrefix="0" xfId="0">
      <alignment horizontal="center"/>
    </xf>
    <xf numFmtId="0" fontId="12" fillId="0" borderId="11" applyAlignment="1" pivotButton="0" quotePrefix="0" xfId="0">
      <alignment horizontal="center"/>
    </xf>
    <xf numFmtId="0" fontId="7" fillId="0" borderId="12" pivotButton="0" quotePrefix="0" xfId="0"/>
    <xf numFmtId="0" fontId="7" fillId="0" borderId="13" pivotButton="0" quotePrefix="0" xfId="0"/>
    <xf numFmtId="0" fontId="21" fillId="0" borderId="1" pivotButton="0" quotePrefix="0" xfId="0"/>
    <xf numFmtId="0" fontId="7" fillId="0" borderId="11" pivotButton="0" quotePrefix="0" xfId="0"/>
    <xf numFmtId="0" fontId="21" fillId="0" borderId="2" pivotButton="0" quotePrefix="0" xfId="0"/>
    <xf numFmtId="0" fontId="4" fillId="0" borderId="1" applyAlignment="1" pivotButton="0" quotePrefix="0" xfId="0">
      <alignment horizontal="center" vertical="center"/>
    </xf>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9" fillId="2" borderId="1" applyAlignment="1" pivotButton="0" quotePrefix="0" xfId="0">
      <alignment horizontal="center" vertical="center" wrapText="1"/>
    </xf>
    <xf numFmtId="0" fontId="10" fillId="0" borderId="1" applyAlignment="1" pivotButton="0" quotePrefix="0" xfId="0">
      <alignment vertical="center" wrapText="1"/>
    </xf>
    <xf numFmtId="0" fontId="9" fillId="0" borderId="1" applyAlignment="1" pivotButton="0" quotePrefix="0" xfId="0">
      <alignment horizontal="center"/>
    </xf>
    <xf numFmtId="0" fontId="12" fillId="0" borderId="5" applyAlignment="1" pivotButton="0" quotePrefix="0" xfId="0">
      <alignment horizontal="center" vertical="bottom"/>
    </xf>
    <xf numFmtId="0" fontId="0" fillId="0" borderId="9" pivotButton="0" quotePrefix="0" xfId="0"/>
    <xf numFmtId="0" fontId="0" fillId="0" borderId="10" pivotButton="0" quotePrefix="0" xfId="0"/>
    <xf numFmtId="0" fontId="21" fillId="0" borderId="1" applyAlignment="1" pivotButton="0" quotePrefix="0" xfId="0">
      <alignment vertical="bottom"/>
    </xf>
    <xf numFmtId="0" fontId="12" fillId="0" borderId="1" applyAlignment="1" pivotButton="0" quotePrefix="0" xfId="0">
      <alignment horizontal="center"/>
    </xf>
    <xf numFmtId="0" fontId="12" fillId="0" borderId="1" applyAlignment="1" pivotButton="0" quotePrefix="0" xfId="0">
      <alignment vertical="top"/>
    </xf>
    <xf numFmtId="0" fontId="12" fillId="0" borderId="1" applyAlignment="1" pivotButton="0" quotePrefix="0" xfId="0">
      <alignment vertical="bottom"/>
    </xf>
    <xf numFmtId="165" fontId="12" fillId="0" borderId="1" applyAlignment="1" pivotButton="0" quotePrefix="0" xfId="0">
      <alignment vertical="bottom"/>
    </xf>
    <xf numFmtId="0" fontId="12" fillId="0" borderId="5" applyAlignment="1" pivotButton="0" quotePrefix="0" xfId="0">
      <alignment horizontal="center"/>
    </xf>
    <xf numFmtId="0" fontId="12" fillId="0" borderId="7" applyAlignment="1" pivotButton="0" quotePrefix="0" xfId="0">
      <alignment horizontal="center"/>
    </xf>
    <xf numFmtId="0" fontId="0" fillId="0" borderId="12" pivotButton="0" quotePrefix="0" xfId="0"/>
    <xf numFmtId="0" fontId="0" fillId="0" borderId="13" pivotButton="0" quotePrefix="0" xfId="0"/>
    <xf numFmtId="0" fontId="0" fillId="0" borderId="11"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tc={e57afd68-e693-4911-aee0-d9400c1e2287}</author>
  </authors>
  <commentList>
    <comment ref="E2" authorId="0" shapeId="0">
      <text>
        <t xml:space="preserve">[Threaded comment]
 Your version of Excel allows you to read this threaded comment; however, any edits to it will get removed if the file is opened in a newer version of Excel. Learn more: https://go.microsoft.com/fwlink/?linkid=870924
Comment:
	m ơi chuyên ngành học mà=))))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amis.misa.vn/136043/chi-phi-khi-thanh-lap-doanh-nghiep/" TargetMode="External" Id="rId1"/></Relationships>
</file>

<file path=xl/worksheets/sheet1.xml><?xml version="1.0" encoding="utf-8"?>
<worksheet xmlns="http://schemas.openxmlformats.org/spreadsheetml/2006/main">
  <sheetPr>
    <outlinePr summaryBelow="0" summaryRight="0"/>
    <pageSetUpPr/>
  </sheetPr>
  <dimension ref="A1:G6"/>
  <sheetViews>
    <sheetView workbookViewId="0">
      <selection activeCell="A1" sqref="A1"/>
    </sheetView>
  </sheetViews>
  <sheetFormatPr baseColWidth="8" defaultColWidth="12.63" defaultRowHeight="15.75" customHeight="1"/>
  <cols>
    <col width="5.63" customWidth="1" style="82" min="1" max="1"/>
    <col width="18.5" customWidth="1" style="82" min="2" max="2"/>
    <col width="8.75" customWidth="1" style="82" min="3" max="3"/>
    <col width="14.25" customWidth="1" style="82" min="4" max="4"/>
    <col width="15.38" customWidth="1" style="82" min="5" max="5"/>
    <col width="16.38" customWidth="1" style="82" min="6" max="6"/>
    <col width="7.25" customWidth="1" style="82" min="7" max="7"/>
  </cols>
  <sheetData>
    <row r="1">
      <c r="A1" s="1" t="inlineStr">
        <is>
          <t>STT</t>
        </is>
      </c>
      <c r="B1" s="1" t="inlineStr">
        <is>
          <t>Họ và tên</t>
        </is>
      </c>
      <c r="C1" s="1" t="inlineStr">
        <is>
          <t>Năm
sinh</t>
        </is>
      </c>
      <c r="D1" s="1" t="inlineStr">
        <is>
          <t>Đơn vị học
tập/làm việc</t>
        </is>
      </c>
      <c r="E1" s="1" t="inlineStr">
        <is>
          <t>Chuyên
ngành/ Lĩnh
vực làm việc</t>
        </is>
      </c>
      <c r="F1" s="1" t="inlineStr">
        <is>
          <t>Vai trò
trong dự án</t>
        </is>
      </c>
      <c r="G1" s="1" t="inlineStr">
        <is>
          <t>Ghi chú</t>
        </is>
      </c>
    </row>
    <row r="2">
      <c r="A2" s="3" t="n">
        <v>1</v>
      </c>
      <c r="B2" s="8" t="inlineStr">
        <is>
          <t>Tống Ngọc Khang</t>
        </is>
      </c>
      <c r="C2" s="8" t="n">
        <v>2008</v>
      </c>
      <c r="D2" s="8" t="inlineStr">
        <is>
          <t>Đại học Kinh tế Thành phố Hồ Chí Minh - UEH</t>
        </is>
      </c>
      <c r="E2" s="8" t="inlineStr">
        <is>
          <t xml:space="preserve">Kiểm toán </t>
        </is>
      </c>
      <c r="F2" s="8" t="inlineStr">
        <is>
          <t>Trưởng nhóm, Quản lý Giải pháp &amp; Chất lượng</t>
        </is>
      </c>
      <c r="G2" s="8" t="n"/>
    </row>
    <row r="3">
      <c r="A3" s="3" t="n">
        <v>2</v>
      </c>
      <c r="B3" s="8" t="inlineStr">
        <is>
          <t>Phạm Quốc Thanh</t>
        </is>
      </c>
      <c r="C3" s="8" t="n">
        <v>2005</v>
      </c>
      <c r="D3" s="8" t="inlineStr">
        <is>
          <t>Đại học Quốc tế - Đại học Quốc gia Thành phố Hồ Chí Minh</t>
        </is>
      </c>
      <c r="E3" s="8" t="inlineStr">
        <is>
          <t>Tài chính / AI Products</t>
        </is>
      </c>
      <c r="F3" s="8" t="inlineStr">
        <is>
          <t>Xây dựng Website, Trí tuệ nhân tạo (AI)</t>
        </is>
      </c>
      <c r="G3" s="8" t="n"/>
    </row>
    <row r="4">
      <c r="A4" s="3" t="n">
        <v>3</v>
      </c>
      <c r="B4" s="8" t="inlineStr">
        <is>
          <t>Nguyễn Ngọc Khánh Phương</t>
        </is>
      </c>
      <c r="C4" s="8" t="n">
        <v>2007</v>
      </c>
      <c r="D4" s="8" t="inlineStr">
        <is>
          <t>Trường Đại học Ngoại Thương - Phân hiệu TP.HCM</t>
        </is>
      </c>
      <c r="E4" s="8" t="inlineStr">
        <is>
          <t>Product Marketing</t>
        </is>
      </c>
      <c r="F4" s="8" t="inlineStr">
        <is>
          <t xml:space="preserve">Lên kế hoạch kinh doanh, ý tưởng kinh doanh </t>
        </is>
      </c>
      <c r="G4" s="8" t="n"/>
    </row>
    <row r="5">
      <c r="A5" s="3" t="n">
        <v>4</v>
      </c>
      <c r="B5" s="8" t="inlineStr">
        <is>
          <t xml:space="preserve">Nguyễn Hồng Phúc </t>
        </is>
      </c>
      <c r="C5" s="8" t="n">
        <v>2006</v>
      </c>
      <c r="D5" s="8" t="inlineStr">
        <is>
          <t xml:space="preserve">Trường đại học FPT Hà Nội </t>
        </is>
      </c>
      <c r="E5" s="8" t="inlineStr">
        <is>
          <t xml:space="preserve">Tài Chính </t>
        </is>
      </c>
      <c r="F5" s="8" t="inlineStr">
        <is>
          <t>Quản lý Dự án &amp; Lập kế hoạch Tài chính</t>
        </is>
      </c>
      <c r="G5" s="8" t="n"/>
    </row>
    <row r="6">
      <c r="A6" s="3" t="n">
        <v>5</v>
      </c>
      <c r="B6" s="8" t="inlineStr">
        <is>
          <t>Nguyễn Quang Chiến</t>
        </is>
      </c>
      <c r="C6" s="8" t="n">
        <v>2007</v>
      </c>
      <c r="D6" s="8" t="inlineStr">
        <is>
          <t>Đại học Bách Khoa - Đại học Đà Nẵng</t>
        </is>
      </c>
      <c r="E6" s="8" t="inlineStr">
        <is>
          <t>AI Products</t>
        </is>
      </c>
      <c r="F6" s="8" t="inlineStr">
        <is>
          <t>Xây dựng Website, Trí tuệ nhân tạo (AI)</t>
        </is>
      </c>
      <c r="G6" s="8"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6.63" customWidth="1" style="82" min="1" max="1"/>
    <col width="39.13" customWidth="1" style="82" min="2" max="2"/>
    <col width="33.13" customWidth="1" style="82" min="3" max="3"/>
    <col width="36.38" customWidth="1" style="82" min="4" max="4"/>
    <col width="39" customWidth="1" style="82" min="5" max="5"/>
  </cols>
  <sheetData>
    <row r="1">
      <c r="A1" s="120" t="inlineStr">
        <is>
          <t>Business Model Canvas</t>
        </is>
      </c>
      <c r="B1" s="121" t="n"/>
      <c r="C1" s="121" t="n"/>
      <c r="D1" s="121" t="n"/>
      <c r="E1" s="12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4" t="inlineStr">
        <is>
          <t>Đối tác chính (Key Partners)</t>
        </is>
      </c>
      <c r="B2" s="14" t="inlineStr">
        <is>
          <t>Hoạt động chính (Key Activities)</t>
        </is>
      </c>
      <c r="C2" s="14" t="inlineStr">
        <is>
          <t>Tuyên bố giá trị (Value Propositions)</t>
        </is>
      </c>
      <c r="D2" s="14" t="inlineStr">
        <is>
          <t>Quan hệ khách hàng (Customer Relationships)</t>
        </is>
      </c>
      <c r="E2" s="14" t="inlineStr">
        <is>
          <t xml:space="preserve"> Phân khúc khách hàng (Customer Segments)</t>
        </is>
      </c>
      <c r="F2" s="12" t="n"/>
      <c r="G2" s="12" t="n"/>
      <c r="H2" s="12" t="n"/>
      <c r="I2" s="12" t="n"/>
      <c r="J2" s="12" t="n"/>
      <c r="K2" s="12" t="n"/>
      <c r="L2" s="12" t="n"/>
      <c r="M2" s="12" t="n"/>
      <c r="N2" s="12" t="n"/>
      <c r="O2" s="12" t="n"/>
      <c r="P2" s="12" t="n"/>
      <c r="Q2" s="12" t="n"/>
      <c r="R2" s="12" t="n"/>
      <c r="S2" s="12" t="n"/>
      <c r="T2" s="12" t="n"/>
      <c r="U2" s="12" t="n"/>
      <c r="V2" s="12" t="n"/>
      <c r="W2" s="12" t="n"/>
      <c r="X2" s="12" t="n"/>
      <c r="Y2" s="12" t="n"/>
      <c r="Z2" s="12" t="n"/>
    </row>
    <row r="3">
      <c r="A3" s="18" t="n"/>
      <c r="B3" s="18" t="n"/>
      <c r="C3" s="18" t="n"/>
      <c r="D3" s="18" t="n"/>
      <c r="E3" s="18" t="n"/>
      <c r="F3" s="12" t="n"/>
      <c r="G3" s="12" t="n"/>
      <c r="H3" s="12" t="n"/>
      <c r="I3" s="12" t="n"/>
      <c r="J3" s="12" t="n"/>
      <c r="K3" s="12" t="n"/>
      <c r="L3" s="12" t="n"/>
      <c r="M3" s="12" t="n"/>
      <c r="N3" s="12" t="n"/>
      <c r="O3" s="12" t="n"/>
      <c r="P3" s="12" t="n"/>
      <c r="Q3" s="12" t="n"/>
      <c r="R3" s="12" t="n"/>
      <c r="S3" s="12" t="n"/>
      <c r="T3" s="12" t="n"/>
      <c r="U3" s="12" t="n"/>
      <c r="V3" s="12" t="n"/>
      <c r="W3" s="12" t="n"/>
      <c r="X3" s="12" t="n"/>
      <c r="Y3" s="12" t="n"/>
      <c r="Z3" s="12" t="n"/>
    </row>
    <row r="4">
      <c r="A4" s="14" t="inlineStr">
        <is>
          <t>Nguồn lực chính (Key Resources)</t>
        </is>
      </c>
      <c r="B4" s="14" t="inlineStr">
        <is>
          <t>Kênh truyền thông &amp; phân phối (Channels)</t>
        </is>
      </c>
      <c r="C4" s="14" t="inlineStr">
        <is>
          <t>Cơ cấu chi phí (Cost Structure)</t>
        </is>
      </c>
      <c r="D4" s="121" t="n"/>
      <c r="E4" s="12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c r="A5" s="18" t="n"/>
      <c r="B5" s="18" t="n"/>
      <c r="C5" s="18" t="n"/>
      <c r="D5" s="121" t="n"/>
      <c r="E5" s="122" t="n"/>
      <c r="F5" s="12" t="n"/>
      <c r="G5" s="12" t="n"/>
      <c r="H5" s="12" t="n"/>
      <c r="I5" s="12" t="n"/>
      <c r="J5" s="12" t="n"/>
      <c r="K5" s="12" t="n"/>
      <c r="L5" s="12" t="n"/>
      <c r="M5" s="12" t="n"/>
      <c r="N5" s="12" t="n"/>
      <c r="O5" s="12" t="n"/>
      <c r="P5" s="12" t="n"/>
      <c r="Q5" s="12" t="n"/>
      <c r="R5" s="12" t="n"/>
      <c r="S5" s="12" t="n"/>
      <c r="T5" s="12" t="n"/>
      <c r="U5" s="12" t="n"/>
      <c r="V5" s="12" t="n"/>
      <c r="W5" s="12" t="n"/>
      <c r="X5" s="12" t="n"/>
      <c r="Y5" s="12" t="n"/>
      <c r="Z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mergeCells count="3">
    <mergeCell ref="C4:E4"/>
    <mergeCell ref="A1:E1"/>
    <mergeCell ref="C5:E5"/>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B952"/>
  <sheetViews>
    <sheetView workbookViewId="0">
      <selection activeCell="A1" sqref="A1"/>
    </sheetView>
  </sheetViews>
  <sheetFormatPr baseColWidth="8" defaultColWidth="12.63" defaultRowHeight="15.75" customHeight="1"/>
  <cols>
    <col width="15.5" customWidth="1" style="82" min="1" max="1"/>
    <col width="19.25" customWidth="1" style="82" min="2" max="2"/>
    <col width="18.25" customWidth="1" style="82" min="3" max="3"/>
    <col width="4.75" customWidth="1" style="82" min="5" max="5"/>
    <col width="15.38" customWidth="1" style="82" min="6" max="6"/>
    <col width="53.75" customWidth="1" style="82" min="7" max="7"/>
    <col width="20" customWidth="1" style="82" min="8" max="8"/>
    <col width="21.88" customWidth="1" style="82" min="9" max="9"/>
    <col width="23.63" customWidth="1" style="82" min="10" max="10"/>
    <col width="11.5" customWidth="1" style="82" min="11" max="11"/>
  </cols>
  <sheetData>
    <row r="1">
      <c r="A1" s="2" t="inlineStr">
        <is>
          <t xml:space="preserve">Danh mục </t>
        </is>
      </c>
      <c r="B1" s="2" t="inlineStr">
        <is>
          <t xml:space="preserve">Chỉ tiêu chi tiết </t>
        </is>
      </c>
      <c r="C1" s="2" t="inlineStr">
        <is>
          <t xml:space="preserve">Nội dung cụ thể </t>
        </is>
      </c>
      <c r="D1" s="6" t="n"/>
      <c r="E1" s="9" t="n"/>
      <c r="F1" s="41" t="n"/>
      <c r="G1" s="6" t="n"/>
      <c r="H1" s="6" t="n"/>
      <c r="I1" s="6" t="n"/>
      <c r="J1" s="6" t="n"/>
      <c r="K1" s="6" t="n"/>
      <c r="L1" s="6" t="n"/>
      <c r="M1" s="6" t="n"/>
      <c r="N1" s="6" t="n"/>
      <c r="O1" s="6" t="n"/>
      <c r="P1" s="6" t="n"/>
      <c r="Q1" s="6" t="n"/>
      <c r="R1" s="6" t="n"/>
      <c r="S1" s="6" t="n"/>
      <c r="T1" s="6" t="n"/>
      <c r="U1" s="6" t="n"/>
      <c r="V1" s="6" t="n"/>
      <c r="W1" s="6" t="n"/>
      <c r="X1" s="6" t="n"/>
      <c r="Y1" s="6" t="n"/>
      <c r="Z1" s="6" t="n"/>
      <c r="AA1" s="6" t="n"/>
      <c r="AB1" s="6" t="n"/>
    </row>
    <row r="2">
      <c r="A2" s="36" t="inlineStr">
        <is>
          <t>Nguồn thu</t>
        </is>
      </c>
      <c r="B2" s="43" t="inlineStr">
        <is>
          <t>Phí thuê bao (Subscription)</t>
        </is>
      </c>
      <c r="C2" s="36" t="n"/>
      <c r="D2" s="6" t="n"/>
      <c r="E2" s="9" t="n"/>
      <c r="F2" s="41" t="n"/>
      <c r="G2" s="6" t="n"/>
      <c r="H2" s="6" t="n"/>
      <c r="I2" s="6" t="n"/>
      <c r="J2" s="6" t="n"/>
      <c r="K2" s="6" t="n"/>
      <c r="L2" s="6" t="n"/>
      <c r="M2" s="6" t="n"/>
      <c r="N2" s="6" t="n"/>
      <c r="O2" s="6" t="n"/>
      <c r="P2" s="6" t="n"/>
      <c r="Q2" s="6" t="n"/>
      <c r="R2" s="6" t="n"/>
      <c r="S2" s="6" t="n"/>
      <c r="T2" s="6" t="n"/>
      <c r="U2" s="6" t="n"/>
      <c r="V2" s="6" t="n"/>
      <c r="W2" s="6" t="n"/>
      <c r="X2" s="6" t="n"/>
      <c r="Y2" s="6" t="n"/>
      <c r="Z2" s="6" t="n"/>
      <c r="AA2" s="6" t="n"/>
      <c r="AB2" s="6" t="n"/>
    </row>
    <row r="3">
      <c r="A3" s="123" t="n"/>
      <c r="B3" s="43" t="inlineStr">
        <is>
          <t>Phí triển khai &amp; tích hợp</t>
        </is>
      </c>
      <c r="C3" s="36" t="n"/>
      <c r="D3" s="6" t="n"/>
      <c r="E3" s="9" t="n"/>
      <c r="F3" s="41" t="n"/>
      <c r="G3" s="6" t="n"/>
      <c r="H3" s="6" t="n"/>
      <c r="I3" s="6" t="n"/>
      <c r="J3" s="6" t="n"/>
      <c r="K3" s="6" t="n"/>
      <c r="L3" s="6" t="n"/>
      <c r="M3" s="6" t="n"/>
      <c r="N3" s="6" t="n"/>
      <c r="O3" s="6" t="n"/>
      <c r="P3" s="6" t="n"/>
      <c r="Q3" s="6" t="n"/>
      <c r="R3" s="6" t="n"/>
      <c r="S3" s="6" t="n"/>
      <c r="T3" s="6" t="n"/>
      <c r="U3" s="6" t="n"/>
      <c r="V3" s="6" t="n"/>
      <c r="W3" s="6" t="n"/>
      <c r="X3" s="6" t="n"/>
      <c r="Y3" s="6" t="n"/>
      <c r="Z3" s="6" t="n"/>
      <c r="AA3" s="6" t="n"/>
      <c r="AB3" s="6" t="n"/>
    </row>
    <row r="4">
      <c r="A4" s="123" t="n"/>
      <c r="B4" s="43" t="inlineStr">
        <is>
          <t>Tư vấn &amp; báo cáo ESG</t>
        </is>
      </c>
      <c r="C4" s="36" t="n"/>
      <c r="D4" s="6" t="n"/>
      <c r="E4" s="2" t="inlineStr">
        <is>
          <t xml:space="preserve">Dự toán chi phí </t>
        </is>
      </c>
      <c r="F4" s="121" t="n"/>
      <c r="G4" s="121" t="n"/>
      <c r="H4" s="122" t="n"/>
      <c r="I4" s="6" t="n"/>
      <c r="J4" s="28" t="inlineStr">
        <is>
          <t>Chỉ tiêu</t>
        </is>
      </c>
      <c r="K4" s="29" t="inlineStr">
        <is>
          <t>Năm 0 (2026)</t>
        </is>
      </c>
      <c r="L4" s="29" t="inlineStr">
        <is>
          <t>Năm 1 (2027)</t>
        </is>
      </c>
      <c r="M4" s="29" t="inlineStr">
        <is>
          <t>Năm 2 (2028)</t>
        </is>
      </c>
      <c r="N4" s="29" t="inlineStr">
        <is>
          <t>Năm 3 (2029)</t>
        </is>
      </c>
      <c r="O4" s="29" t="inlineStr">
        <is>
          <t>Năm 4 (2030)</t>
        </is>
      </c>
      <c r="P4" s="29" t="inlineStr">
        <is>
          <t>Năm 5 (2031)</t>
        </is>
      </c>
      <c r="Q4" s="6" t="n"/>
      <c r="R4" s="6" t="n"/>
      <c r="S4" s="6" t="n"/>
      <c r="T4" s="6" t="n"/>
      <c r="U4" s="6" t="n"/>
      <c r="V4" s="6" t="n"/>
      <c r="W4" s="6" t="n"/>
      <c r="X4" s="6" t="n"/>
      <c r="Y4" s="6" t="n"/>
      <c r="Z4" s="6" t="n"/>
      <c r="AA4" s="6" t="n"/>
      <c r="AB4" s="6" t="n"/>
    </row>
    <row r="5">
      <c r="A5" s="123" t="n"/>
      <c r="B5" s="43" t="inlineStr">
        <is>
          <t>Phí kết nối đơn chiều về</t>
        </is>
      </c>
      <c r="C5" s="36" t="n"/>
      <c r="D5" s="6" t="n"/>
      <c r="E5" s="2" t="inlineStr">
        <is>
          <t>STT</t>
        </is>
      </c>
      <c r="F5" s="31" t="inlineStr">
        <is>
          <t xml:space="preserve">Khoản mục chi phí </t>
        </is>
      </c>
      <c r="G5" s="2" t="inlineStr">
        <is>
          <t xml:space="preserve">Nội dung chi tiết </t>
        </is>
      </c>
      <c r="H5" s="2" t="inlineStr">
        <is>
          <t>Dự toán (VND)</t>
        </is>
      </c>
      <c r="I5" s="6" t="n"/>
      <c r="J5" s="28" t="inlineStr">
        <is>
          <t>Doanh thu dự kiến</t>
        </is>
      </c>
      <c r="K5" s="28" t="n"/>
      <c r="L5" s="34" t="n"/>
      <c r="M5" s="34" t="n"/>
      <c r="N5" s="34" t="n"/>
      <c r="O5" s="34" t="n"/>
      <c r="P5" s="34" t="n"/>
      <c r="Q5" s="6" t="n"/>
      <c r="R5" s="6" t="n"/>
      <c r="S5" s="6" t="n"/>
      <c r="T5" s="6" t="n"/>
      <c r="U5" s="6" t="n"/>
      <c r="V5" s="6" t="n"/>
      <c r="W5" s="6" t="n"/>
      <c r="X5" s="6" t="n"/>
      <c r="Y5" s="6" t="n"/>
      <c r="Z5" s="6" t="n"/>
      <c r="AA5" s="6" t="n"/>
      <c r="AB5" s="6" t="n"/>
    </row>
    <row r="6">
      <c r="A6" s="124" t="n"/>
      <c r="B6" s="43" t="inlineStr">
        <is>
          <t>Hoa hồng đối tác xanh</t>
        </is>
      </c>
      <c r="C6" s="36" t="n"/>
      <c r="D6" s="6" t="n"/>
      <c r="E6" s="37" t="n">
        <v>1</v>
      </c>
      <c r="F6" s="38" t="inlineStr">
        <is>
          <t>Phát triển sản phẩm/công nghệ</t>
        </is>
      </c>
      <c r="G6" s="36" t="inlineStr">
        <is>
          <t>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t>
        </is>
      </c>
      <c r="H6" s="39" t="n"/>
      <c r="I6" s="6" t="n"/>
      <c r="J6" s="28" t="inlineStr">
        <is>
          <t>Chi phí vận hành</t>
        </is>
      </c>
      <c r="K6" s="28" t="n"/>
      <c r="L6" s="34" t="n"/>
      <c r="M6" s="34" t="n"/>
      <c r="N6" s="34" t="n"/>
      <c r="O6" s="34" t="n"/>
      <c r="P6" s="34" t="n"/>
      <c r="Q6" s="6" t="n"/>
      <c r="R6" s="6" t="n"/>
      <c r="S6" s="6" t="n"/>
      <c r="T6" s="6" t="n"/>
      <c r="U6" s="6" t="n"/>
      <c r="V6" s="6" t="n"/>
      <c r="W6" s="6" t="n"/>
      <c r="X6" s="6" t="n"/>
      <c r="Y6" s="6" t="n"/>
      <c r="Z6" s="6" t="n"/>
      <c r="AA6" s="6" t="n"/>
      <c r="AB6" s="6" t="n"/>
    </row>
    <row r="7">
      <c r="A7" s="36" t="inlineStr">
        <is>
          <t>Hiệu quả tài chính</t>
        </is>
      </c>
      <c r="B7" s="36" t="n"/>
      <c r="C7" s="36" t="n"/>
      <c r="D7" s="6" t="n"/>
      <c r="E7" s="37" t="n">
        <v>2</v>
      </c>
      <c r="F7" s="38" t="inlineStr">
        <is>
          <t>Hạ tầng kỹ thuật</t>
        </is>
      </c>
      <c r="G7" s="36" t="inlineStr">
        <is>
          <t>Mua/thiết lập server (nếu không dùng cloud pay-as-you-go)
Thiết lập cơ sở dữ liệu ban đầu
Thiết lập hệ thống bảo mật, mã hóa dữ liệu</t>
        </is>
      </c>
      <c r="H7" s="39" t="n"/>
      <c r="I7" s="6" t="n"/>
      <c r="J7" s="28" t="inlineStr">
        <is>
          <t>Khấu hao</t>
        </is>
      </c>
      <c r="K7" s="28" t="n"/>
      <c r="L7" s="34" t="n"/>
      <c r="M7" s="34" t="n"/>
      <c r="N7" s="34" t="n"/>
      <c r="O7" s="34" t="n"/>
      <c r="P7" s="34" t="n"/>
      <c r="Q7" s="6" t="n"/>
      <c r="R7" s="6" t="n"/>
      <c r="S7" s="6" t="n"/>
      <c r="T7" s="6" t="n"/>
      <c r="U7" s="6" t="n"/>
      <c r="V7" s="6" t="n"/>
      <c r="W7" s="6" t="n"/>
      <c r="X7" s="6" t="n"/>
      <c r="Y7" s="6" t="n"/>
      <c r="Z7" s="6" t="n"/>
      <c r="AA7" s="6" t="n"/>
      <c r="AB7" s="6" t="n"/>
    </row>
    <row r="8" ht="150.75" customHeight="1" s="82">
      <c r="A8" s="6" t="n"/>
      <c r="B8" s="6" t="n"/>
      <c r="C8" s="6" t="n"/>
      <c r="D8" s="6" t="n"/>
      <c r="E8" s="37" t="n">
        <v>3</v>
      </c>
      <c r="F8" s="38" t="inlineStr">
        <is>
          <t>Pháp lý &amp; hành chính</t>
        </is>
      </c>
      <c r="G8" s="36" t="inlineStr">
        <is>
          <t xml:space="preserve">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t>
        </is>
      </c>
      <c r="H8" s="40">
        <f>SUM(CAPEX!G15:G25)</f>
        <v/>
      </c>
      <c r="I8" s="41" t="n"/>
      <c r="J8" s="28" t="inlineStr">
        <is>
          <t>Lợi nhuận trước thuế</t>
        </is>
      </c>
      <c r="K8" s="28" t="n"/>
      <c r="L8" s="34" t="n"/>
      <c r="M8" s="34" t="n"/>
      <c r="N8" s="34" t="n"/>
      <c r="O8" s="34" t="n"/>
      <c r="P8" s="34" t="n"/>
      <c r="Q8" s="6" t="n"/>
      <c r="R8" s="6" t="n"/>
      <c r="S8" s="6" t="n"/>
      <c r="T8" s="6" t="n"/>
      <c r="U8" s="6" t="n"/>
      <c r="V8" s="6" t="n"/>
      <c r="W8" s="6" t="n"/>
      <c r="X8" s="6" t="n"/>
      <c r="Y8" s="6" t="n"/>
      <c r="Z8" s="6" t="n"/>
      <c r="AA8" s="6" t="n"/>
      <c r="AB8" s="6" t="n"/>
    </row>
    <row r="9">
      <c r="A9" s="6" t="n"/>
      <c r="B9" s="6" t="n"/>
      <c r="C9" s="6" t="n"/>
      <c r="D9" s="6" t="n"/>
      <c r="E9" s="37" t="n">
        <v>4</v>
      </c>
      <c r="F9" s="38" t="inlineStr">
        <is>
          <t>Thiết bị &amp; tài sản cố định</t>
        </is>
      </c>
      <c r="G9" s="36" t="inlineStr">
        <is>
          <t>Laptop, thiết bị làm việc cho đội ngũ
Thiết bị demo (nếu cần trình diễn cho khách hàng pilot)</t>
        </is>
      </c>
      <c r="H9" s="39" t="n"/>
      <c r="I9" s="6" t="n"/>
      <c r="J9" s="6" t="n"/>
      <c r="K9" s="6" t="n"/>
      <c r="L9" s="6" t="n"/>
      <c r="M9" s="6" t="n"/>
      <c r="N9" s="6" t="n"/>
      <c r="O9" s="6" t="n"/>
      <c r="P9" s="6" t="n"/>
      <c r="Q9" s="6" t="n"/>
      <c r="R9" s="6" t="n"/>
      <c r="S9" s="6" t="n"/>
      <c r="T9" s="6" t="n"/>
      <c r="U9" s="6" t="n"/>
      <c r="V9" s="6" t="n"/>
      <c r="W9" s="6" t="n"/>
      <c r="X9" s="6" t="n"/>
      <c r="Y9" s="6" t="n"/>
      <c r="Z9" s="6" t="n"/>
      <c r="AA9" s="6" t="n"/>
      <c r="AB9" s="6" t="n"/>
    </row>
    <row r="10">
      <c r="A10" s="6" t="n"/>
      <c r="B10" s="6" t="n"/>
      <c r="C10" s="6" t="n"/>
      <c r="D10" s="6" t="n"/>
      <c r="E10" s="37" t="n">
        <v>5</v>
      </c>
      <c r="F10" s="38" t="inlineStr">
        <is>
          <t>Nghiên cứu &amp; phát triển ban đầu</t>
        </is>
      </c>
      <c r="G10" s="36" t="inlineStr">
        <is>
          <t>Chi phí khảo sát thị trường, phỏng vấn doanh nghiệp (trước khi build)
Chi phí thuê chuyên gia tư vấn thiết kế hệ thống (one-time)</t>
        </is>
      </c>
      <c r="H10" s="39" t="n"/>
      <c r="I10" s="6" t="n"/>
      <c r="J10" s="29" t="inlineStr">
        <is>
          <t>Hạng mục (VNĐ)</t>
        </is>
      </c>
      <c r="K10" s="29" t="inlineStr">
        <is>
          <t>2026 (Năm 0)</t>
        </is>
      </c>
      <c r="L10" s="29" t="inlineStr">
        <is>
          <t>2027 (Năm 1)</t>
        </is>
      </c>
      <c r="M10" s="29" t="inlineStr">
        <is>
          <t>2028 (Năm 2)</t>
        </is>
      </c>
      <c r="N10" s="29" t="inlineStr">
        <is>
          <t>2029 (Năm 3)</t>
        </is>
      </c>
      <c r="O10" s="29" t="inlineStr">
        <is>
          <t>2030 (Năm 4)</t>
        </is>
      </c>
      <c r="P10" s="29" t="inlineStr">
        <is>
          <t>2031 (Năm 5)</t>
        </is>
      </c>
      <c r="Q10" s="6" t="n"/>
      <c r="R10" s="6" t="n"/>
      <c r="S10" s="6" t="n"/>
      <c r="T10" s="6" t="n"/>
      <c r="U10" s="6" t="n"/>
      <c r="V10" s="6" t="n"/>
      <c r="W10" s="6" t="n"/>
      <c r="X10" s="6" t="n"/>
      <c r="Y10" s="6" t="n"/>
      <c r="Z10" s="6" t="n"/>
      <c r="AA10" s="6" t="n"/>
      <c r="AB10" s="6" t="n"/>
    </row>
    <row r="11">
      <c r="A11" s="42" t="inlineStr">
        <is>
          <t xml:space="preserve">CAPEX (đầu tư ban đầu - một lần)
1. Phát triển sản phẩm/công nghệ
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
2. Hạ tầng kỹ thuật
Mua/thiết lập server (nếu không dùng cloud pay-as-you-go)
Thiết lập cơ sở dữ liệu ban đầu
Thiết lập hệ thống bảo mật, mã hóa dữ liệu
3. Pháp lý &amp; hành chính
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4. Thiết bị &amp; tài sản cố định
Laptop, thiết bị làm việc cho đội ngũ
Thiết bị demo (nếu cần trình diễn cho khách hàng pilot)
5. Nghiên cứu &amp; phát triển ban đầu
Chi phí khảo sát thị trường, phỏng vấn doanh nghiệp (trước khi build)
Chi phí thuê chuyên gia tư vấn thiết kế hệ thống (one-time)
OPEX (vận hành - định kỳ theo tháng/quý)
1. Chi phí công nghệ vận hành
Phí API bản đồ (Google Maps/Mapbox/HERE...) theo lượt gọi
Phí dữ liệu giao thông thời gian thực
Phí hosting/cloud server (AWS, GCP, Azure...)
Phí lưu trữ dữ liệu (storage)
Phí duy trì bảo mật, SSL, backup định kỳ
Phí bảo trì, sửa lỗi hệ thống
2. Nhân sự
Lương đội kỹ thuật (dev, duy trì hệ thống)
Lương đội kinh doanh/sales
Lương đội chăm sóc khách hàng/hỗ trợ vận hành
Lương/thù lao quản lý dự án
Chi phí thuê chuyên gia tư vấn dài hạn (logistics, đo lường CO₂, VRP) nếu có
Bảo hiểm xã hội, phúc lợi nhân viên (nếu tuyển chính thức)
3. Vận hành pilot/khách hàng
Chi phí hỗ trợ kỹ thuật onsite/online cho DN thử nghiệm
Chi phí đào tạo, hướng dẫn sử dụng cho DN và tài xế
Chi phí thu thập, làm sạch, hiệu chỉnh dữ liệu thực tế
Chi phí chương trình dùng thử miễn phí (coi là chi phí "customer acquisition")
4. Marketing &amp; bán hàng
Quảng cáo online (Facebook, LinkedIn, Google Ads)
Chi phí tham gia hội thảo, triển lãm logistics/ESG
Chi phí sản xuất nội dung truyền thông (video, bài viết, case study)
Chi phí quà tặng/khuyến mãi cho khách hàng pilot
5. Chi phí văn phòng &amp; hành chính
Thuê văn phòng (nếu có), điện, nước, internet
Công cụ làm việc: Google Workspace, Slack, Zoom, phần mềm quản lý dự án
Văn phòng phẩm
6. Chi phí tài chính &amp; pháp lý định kỳ
Kế toán, kiểm toán
Thuế
Gia hạn giấy phép, hợp đồng đối tác dữ liệu (hàng năm)
7. Chi phí đo lường &amp; báo cáo
Công cụ/phần mềm đo lường CO₂ (nếu thuê ngoài thay vì tự xây)
Chi phí lập báo cáo ESG định kỳ cho khách hàng
8. Dự phòng rủi ro
Quỹ dự phòng phát sinh (thường 10-15% tổng OPEX)
</t>
        </is>
      </c>
      <c r="D11" s="6" t="n"/>
      <c r="E11" s="37" t="n">
        <v>6</v>
      </c>
      <c r="F11" s="38" t="inlineStr">
        <is>
          <t>Chi phí công nghệ vận hành</t>
        </is>
      </c>
      <c r="G11" s="36" t="inlineStr">
        <is>
          <t>Phí API bản đồ (Google Maps/Mapbox/HERE...) theo lượt gọi
Phí dữ liệu giao thông thời gian thực
Phí hosting/cloud server (AWS, GCP, Azure...)
Phí lưu trữ dữ liệu (storage)
Phí duy trì bảo mật, SSL, backup định kỳ
Phí bảo trì, sửa lỗi hệ thống</t>
        </is>
      </c>
      <c r="H11" s="39" t="n"/>
      <c r="I11" s="6" t="n"/>
      <c r="J11" s="29" t="inlineStr">
        <is>
          <t>A. DÒNG TIỀN TỪ HĐKD</t>
        </is>
      </c>
      <c r="K11" s="121" t="n"/>
      <c r="L11" s="121" t="n"/>
      <c r="M11" s="121" t="n"/>
      <c r="N11" s="121" t="n"/>
      <c r="O11" s="121" t="n"/>
      <c r="P11" s="122" t="n"/>
      <c r="Q11" s="6" t="n"/>
      <c r="R11" s="6" t="n"/>
      <c r="S11" s="6" t="n"/>
      <c r="T11" s="6" t="n"/>
      <c r="U11" s="6" t="n"/>
      <c r="V11" s="6" t="n"/>
      <c r="W11" s="6" t="n"/>
      <c r="X11" s="6" t="n"/>
      <c r="Y11" s="6" t="n"/>
      <c r="Z11" s="6" t="n"/>
      <c r="AA11" s="6" t="n"/>
      <c r="AB11" s="6" t="n"/>
    </row>
    <row r="12">
      <c r="D12" s="6" t="n"/>
      <c r="E12" s="37" t="n">
        <v>7</v>
      </c>
      <c r="F12" s="38" t="inlineStr">
        <is>
          <t>Nhân sự</t>
        </is>
      </c>
      <c r="G12" s="36" t="inlineStr">
        <is>
          <t>Lương đội kỹ thuật (dev, duy trì hệ thống)
Lương đội kinh doanh/sales
Lương đội chăm sóc khách hàng/hỗ trợ vận hành
Lương/thù lao quản lý dự án
Chi phí thuê chuyên gia tư vấn dài hạn (logistics, đo lường CO₂, VRP) nếu có
Bảo hiểm xã hội, phúc lợi nhân viên (nếu tuyển chính thức)</t>
        </is>
      </c>
      <c r="H12" s="39" t="n"/>
      <c r="I12" s="6" t="n"/>
      <c r="J12" s="29" t="inlineStr">
        <is>
          <t>1. Doanh thu dự kiến</t>
        </is>
      </c>
      <c r="K12" s="34" t="n"/>
      <c r="L12" s="34" t="n"/>
      <c r="M12" s="34" t="n"/>
      <c r="N12" s="34" t="n"/>
      <c r="O12" s="34" t="n"/>
      <c r="P12" s="34" t="n"/>
      <c r="Q12" s="6" t="n"/>
      <c r="R12" s="6" t="n"/>
      <c r="S12" s="6" t="n"/>
      <c r="T12" s="6" t="n"/>
      <c r="U12" s="6" t="n"/>
      <c r="V12" s="6" t="n"/>
      <c r="W12" s="6" t="n"/>
      <c r="X12" s="6" t="n"/>
      <c r="Y12" s="6" t="n"/>
      <c r="Z12" s="6" t="n"/>
      <c r="AA12" s="6" t="n"/>
      <c r="AB12" s="6" t="n"/>
    </row>
    <row r="13">
      <c r="D13" s="6" t="n"/>
      <c r="E13" s="37" t="n">
        <v>8</v>
      </c>
      <c r="F13" s="38" t="inlineStr">
        <is>
          <t>Vận hành pilot/khách hàng</t>
        </is>
      </c>
      <c r="G13" s="36" t="inlineStr">
        <is>
          <t>Chi phí hỗ trợ kỹ thuật onsite/online cho DN thử nghiệm
Chi phí đào tạo, hướng dẫn sử dụng cho DN và tài xế
Chi phí thu thập, làm sạch, hiệu chỉnh dữ liệu thực tế
Chi phí chương trình dùng thử miễn phí (coi là chi phí "customer acquisition")</t>
        </is>
      </c>
      <c r="H13" s="39" t="n"/>
      <c r="I13" s="6" t="n"/>
      <c r="J13" s="29" t="inlineStr">
        <is>
          <t>2. Chi phí vận hành</t>
        </is>
      </c>
      <c r="K13" s="34" t="n"/>
      <c r="L13" s="34" t="n"/>
      <c r="M13" s="34" t="n"/>
      <c r="N13" s="34" t="n"/>
      <c r="O13" s="34" t="n"/>
      <c r="P13" s="34" t="n"/>
      <c r="Q13" s="6" t="n"/>
      <c r="R13" s="6" t="n"/>
      <c r="S13" s="6" t="n"/>
      <c r="T13" s="6" t="n"/>
      <c r="U13" s="6" t="n"/>
      <c r="V13" s="6" t="n"/>
      <c r="W13" s="6" t="n"/>
      <c r="X13" s="6" t="n"/>
      <c r="Y13" s="6" t="n"/>
      <c r="Z13" s="6" t="n"/>
      <c r="AA13" s="6" t="n"/>
      <c r="AB13" s="6" t="n"/>
    </row>
    <row r="14">
      <c r="D14" s="6" t="n"/>
      <c r="E14" s="37" t="n">
        <v>9</v>
      </c>
      <c r="F14" s="38" t="inlineStr">
        <is>
          <t>Marketing &amp; bán hàng</t>
        </is>
      </c>
      <c r="G14" s="36" t="inlineStr">
        <is>
          <t>Quảng cáo online (Facebook, LinkedIn, Google Ads)
Chi phí tham gia hội thảo, triển lãm logistics/ESG
Chi phí sản xuất nội dung truyền thông (video, bài viết, case study)
Chi phí quà tặng/khuyến mãi cho khách hàng pilot</t>
        </is>
      </c>
      <c r="H14" s="39" t="n"/>
      <c r="I14" s="6" t="n"/>
      <c r="J14" s="29" t="inlineStr">
        <is>
          <t>3. Thuế TNDN (20%)</t>
        </is>
      </c>
      <c r="K14" s="34" t="n"/>
      <c r="L14" s="34" t="n"/>
      <c r="M14" s="34" t="n"/>
      <c r="N14" s="34" t="n"/>
      <c r="O14" s="34" t="n"/>
      <c r="P14" s="34" t="n"/>
      <c r="Q14" s="6" t="n"/>
      <c r="R14" s="6" t="n"/>
      <c r="S14" s="6" t="n"/>
      <c r="T14" s="6" t="n"/>
      <c r="U14" s="6" t="n"/>
      <c r="V14" s="6" t="n"/>
      <c r="W14" s="6" t="n"/>
      <c r="X14" s="6" t="n"/>
      <c r="Y14" s="6" t="n"/>
      <c r="Z14" s="6" t="n"/>
      <c r="AA14" s="6" t="n"/>
      <c r="AB14" s="6" t="n"/>
    </row>
    <row r="15">
      <c r="D15" s="6" t="n"/>
      <c r="E15" s="37" t="n">
        <v>10</v>
      </c>
      <c r="F15" s="38" t="inlineStr">
        <is>
          <t>Chi phí văn phòng &amp; hành chính</t>
        </is>
      </c>
      <c r="G15" s="36" t="inlineStr">
        <is>
          <t>Thuê văn phòng (nếu có), điện, nước, internet
Công cụ làm việc: Google Workspace, Slack, Zoom, phần mềm quản lý dự án
Văn phòng phẩm</t>
        </is>
      </c>
      <c r="H15" s="39" t="n"/>
      <c r="I15" s="6" t="n"/>
      <c r="J15" s="29" t="inlineStr">
        <is>
          <t>Dòng thuần HĐKD (CFO)</t>
        </is>
      </c>
      <c r="K15" s="34" t="n"/>
      <c r="L15" s="34" t="n"/>
      <c r="M15" s="34" t="n"/>
      <c r="N15" s="34" t="n"/>
      <c r="O15" s="34" t="n"/>
      <c r="P15" s="34" t="n"/>
      <c r="Q15" s="6" t="n"/>
      <c r="R15" s="6" t="n"/>
      <c r="S15" s="6" t="n"/>
      <c r="T15" s="6" t="n"/>
      <c r="U15" s="6" t="n"/>
      <c r="V15" s="6" t="n"/>
      <c r="W15" s="6" t="n"/>
      <c r="X15" s="6" t="n"/>
      <c r="Y15" s="6" t="n"/>
      <c r="Z15" s="6" t="n"/>
      <c r="AA15" s="6" t="n"/>
      <c r="AB15" s="6" t="n"/>
    </row>
    <row r="16">
      <c r="D16" s="6" t="n"/>
      <c r="E16" s="37" t="n">
        <v>11</v>
      </c>
      <c r="F16" s="38" t="inlineStr">
        <is>
          <t>Chi phí tài chính &amp; pháp lý định kỳ</t>
        </is>
      </c>
      <c r="G16" s="36" t="inlineStr">
        <is>
          <t>Kế toán, kiểm toán
Thuế
Gia hạn giấy phép, hợp đồng đối tác dữ liệu (hàng năm)</t>
        </is>
      </c>
      <c r="H16" s="39" t="n"/>
      <c r="I16" s="6" t="n"/>
      <c r="J16" s="29" t="inlineStr">
        <is>
          <t>B. DÒNG TIỀN TỪ HĐĐT</t>
        </is>
      </c>
      <c r="K16" s="121" t="n"/>
      <c r="L16" s="121" t="n"/>
      <c r="M16" s="121" t="n"/>
      <c r="N16" s="121" t="n"/>
      <c r="O16" s="121" t="n"/>
      <c r="P16" s="122" t="n"/>
      <c r="Q16" s="6" t="n"/>
      <c r="R16" s="6" t="n"/>
      <c r="S16" s="6" t="n"/>
      <c r="T16" s="6" t="n"/>
      <c r="U16" s="6" t="n"/>
      <c r="V16" s="6" t="n"/>
      <c r="W16" s="6" t="n"/>
      <c r="X16" s="6" t="n"/>
      <c r="Y16" s="6" t="n"/>
      <c r="Z16" s="6" t="n"/>
      <c r="AA16" s="6" t="n"/>
      <c r="AB16" s="6" t="n"/>
    </row>
    <row r="17">
      <c r="D17" s="6" t="n"/>
      <c r="E17" s="37" t="n">
        <v>12</v>
      </c>
      <c r="F17" s="38" t="inlineStr">
        <is>
          <t>Chi phí đo lường &amp; báo cáo</t>
        </is>
      </c>
      <c r="G17" s="36" t="inlineStr">
        <is>
          <t>Công cụ/phần mềm đo lường CO₂ (nếu thuê ngoài thay vì tự xây)
Chi phí lập báo cáo ESG định kỳ cho khách hàng</t>
        </is>
      </c>
      <c r="H17" s="39" t="n"/>
      <c r="I17" s="6" t="n"/>
      <c r="J17" s="29" t="inlineStr">
        <is>
          <t>1. Vốn đầu tư ban đầu</t>
        </is>
      </c>
      <c r="K17" s="34" t="n"/>
      <c r="L17" s="34" t="n"/>
      <c r="M17" s="34" t="n"/>
      <c r="N17" s="34" t="n"/>
      <c r="O17" s="34" t="n"/>
      <c r="P17" s="34" t="n"/>
      <c r="Q17" s="6" t="n"/>
      <c r="R17" s="6" t="n"/>
      <c r="S17" s="6" t="n"/>
      <c r="T17" s="6" t="n"/>
      <c r="U17" s="6" t="n"/>
      <c r="V17" s="6" t="n"/>
      <c r="W17" s="6" t="n"/>
      <c r="X17" s="6" t="n"/>
      <c r="Y17" s="6" t="n"/>
      <c r="Z17" s="6" t="n"/>
      <c r="AA17" s="6" t="n"/>
      <c r="AB17" s="6" t="n"/>
    </row>
    <row r="18">
      <c r="D18" s="6" t="n"/>
      <c r="E18" s="37" t="n">
        <v>13</v>
      </c>
      <c r="F18" s="38" t="inlineStr">
        <is>
          <t>Dự phòng rủi ro</t>
        </is>
      </c>
      <c r="G18" s="36" t="inlineStr">
        <is>
          <t>Quỹ dự phòng phát sinh (thường 10-15% tổng OPEX)</t>
        </is>
      </c>
      <c r="H18" s="39" t="n"/>
      <c r="I18" s="6" t="n"/>
      <c r="J18" s="29" t="inlineStr">
        <is>
          <t>Dòng thuần HĐĐT (CFI)</t>
        </is>
      </c>
      <c r="K18" s="34" t="n"/>
      <c r="L18" s="34" t="n"/>
      <c r="M18" s="34" t="n"/>
      <c r="N18" s="34" t="n"/>
      <c r="O18" s="34" t="n"/>
      <c r="P18" s="34" t="n"/>
      <c r="Q18" s="6" t="n"/>
      <c r="R18" s="6" t="n"/>
      <c r="S18" s="6" t="n"/>
      <c r="T18" s="6" t="n"/>
      <c r="U18" s="6" t="n"/>
      <c r="V18" s="6" t="n"/>
      <c r="W18" s="6" t="n"/>
      <c r="X18" s="6" t="n"/>
      <c r="Y18" s="6" t="n"/>
      <c r="Z18" s="6" t="n"/>
      <c r="AA18" s="6" t="n"/>
      <c r="AB18" s="6" t="n"/>
    </row>
    <row r="19">
      <c r="D19" s="6" t="n"/>
      <c r="E19" s="9" t="n"/>
      <c r="F19" s="41" t="n"/>
      <c r="G19" s="6" t="n"/>
      <c r="H19" s="6" t="n"/>
      <c r="I19" s="6" t="n"/>
      <c r="J19" s="29" t="inlineStr">
        <is>
          <t>C. TỔNG DÒNG TIỀN THUẦN</t>
        </is>
      </c>
      <c r="K19" s="34" t="n"/>
      <c r="L19" s="34" t="n"/>
      <c r="M19" s="34" t="n"/>
      <c r="N19" s="34" t="n"/>
      <c r="O19" s="34" t="n"/>
      <c r="P19" s="34" t="n"/>
      <c r="Q19" s="6" t="n"/>
      <c r="R19" s="6" t="n"/>
      <c r="S19" s="6" t="n"/>
      <c r="T19" s="6" t="n"/>
      <c r="U19" s="6" t="n"/>
      <c r="V19" s="6" t="n"/>
      <c r="W19" s="6" t="n"/>
      <c r="X19" s="6" t="n"/>
      <c r="Y19" s="6" t="n"/>
      <c r="Z19" s="6" t="n"/>
      <c r="AA19" s="6" t="n"/>
      <c r="AB19" s="6" t="n"/>
    </row>
    <row r="20">
      <c r="D20" s="6" t="n"/>
      <c r="E20" s="9" t="n"/>
      <c r="F20" s="41"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row>
    <row r="21">
      <c r="D21" s="6" t="n"/>
      <c r="E21" s="9" t="n"/>
      <c r="F21" s="41" t="n"/>
      <c r="G21" s="6" t="n"/>
      <c r="H21" s="6" t="n"/>
      <c r="I21" s="6" t="n"/>
      <c r="J21" s="29" t="inlineStr">
        <is>
          <t>Chi phí vốn ước tính</t>
        </is>
      </c>
      <c r="K21" s="49" t="n"/>
      <c r="L21" s="6" t="n"/>
      <c r="M21" s="6" t="n"/>
      <c r="N21" s="6" t="n"/>
      <c r="O21" s="6" t="n"/>
      <c r="P21" s="6" t="n"/>
      <c r="Q21" s="6" t="n"/>
      <c r="R21" s="6" t="n"/>
      <c r="S21" s="6" t="n"/>
      <c r="T21" s="6" t="n"/>
      <c r="U21" s="6" t="n"/>
      <c r="V21" s="6" t="n"/>
      <c r="W21" s="6" t="n"/>
      <c r="X21" s="6" t="n"/>
      <c r="Y21" s="6" t="n"/>
      <c r="Z21" s="6" t="n"/>
      <c r="AA21" s="6" t="n"/>
      <c r="AB21" s="6" t="n"/>
    </row>
    <row r="22">
      <c r="D22" s="6" t="n"/>
      <c r="E22" s="9" t="n"/>
      <c r="F22" s="41" t="n"/>
      <c r="G22" s="6" t="n"/>
      <c r="H22" s="6" t="n"/>
      <c r="I22" s="6" t="n"/>
      <c r="J22" s="29" t="inlineStr">
        <is>
          <t>Thời gian hoàn vốn</t>
        </is>
      </c>
      <c r="K22" s="34" t="n"/>
      <c r="L22" s="6" t="n"/>
      <c r="M22" s="6" t="n"/>
      <c r="N22" s="6" t="n"/>
      <c r="O22" s="6" t="n"/>
      <c r="P22" s="6" t="n"/>
      <c r="Q22" s="6" t="n"/>
      <c r="R22" s="6" t="n"/>
      <c r="S22" s="6" t="n"/>
      <c r="T22" s="6" t="n"/>
      <c r="U22" s="6" t="n"/>
      <c r="V22" s="6" t="n"/>
      <c r="W22" s="6" t="n"/>
      <c r="X22" s="6" t="n"/>
      <c r="Y22" s="6" t="n"/>
      <c r="Z22" s="6" t="n"/>
      <c r="AA22" s="6" t="n"/>
      <c r="AB22" s="6" t="n"/>
    </row>
    <row r="23">
      <c r="D23" s="6" t="n"/>
      <c r="E23" s="9" t="n"/>
      <c r="F23" s="41" t="n"/>
      <c r="G23" s="6" t="n"/>
      <c r="H23" s="6" t="n"/>
      <c r="I23" s="6" t="n"/>
      <c r="J23" s="29" t="inlineStr">
        <is>
          <t>Thời gian hoàn vốn có chiết khấu</t>
        </is>
      </c>
      <c r="K23" s="34" t="n"/>
      <c r="L23" s="6" t="n"/>
      <c r="M23" s="6" t="n"/>
      <c r="N23" s="6" t="n"/>
      <c r="O23" s="6" t="n"/>
      <c r="P23" s="6" t="n"/>
      <c r="Q23" s="6" t="n"/>
      <c r="R23" s="6" t="n"/>
      <c r="S23" s="6" t="n"/>
      <c r="T23" s="6" t="n"/>
      <c r="U23" s="6" t="n"/>
      <c r="V23" s="6" t="n"/>
      <c r="W23" s="6" t="n"/>
      <c r="X23" s="6" t="n"/>
      <c r="Y23" s="6" t="n"/>
      <c r="Z23" s="6" t="n"/>
      <c r="AA23" s="6" t="n"/>
      <c r="AB23" s="6" t="n"/>
    </row>
    <row r="24">
      <c r="D24" s="6" t="n"/>
      <c r="E24" s="9" t="n"/>
      <c r="F24" s="41" t="n"/>
      <c r="G24" s="6" t="n"/>
      <c r="H24" s="6" t="n"/>
      <c r="I24" s="6" t="n"/>
      <c r="J24" s="29" t="inlineStr">
        <is>
          <t>NPV - Giá trị hiện tại ròng</t>
        </is>
      </c>
      <c r="K24" s="52" t="n"/>
      <c r="L24" s="6" t="n"/>
      <c r="M24" s="6" t="n"/>
      <c r="N24" s="6" t="n"/>
      <c r="O24" s="6" t="n"/>
      <c r="P24" s="6" t="n"/>
      <c r="Q24" s="6" t="n"/>
      <c r="R24" s="6" t="n"/>
      <c r="S24" s="6" t="n"/>
      <c r="T24" s="6" t="n"/>
      <c r="U24" s="6" t="n"/>
      <c r="V24" s="6" t="n"/>
      <c r="W24" s="6" t="n"/>
      <c r="X24" s="6" t="n"/>
      <c r="Y24" s="6" t="n"/>
      <c r="Z24" s="6" t="n"/>
      <c r="AA24" s="6" t="n"/>
      <c r="AB24" s="6" t="n"/>
    </row>
    <row r="25">
      <c r="D25" s="6" t="n"/>
      <c r="E25" s="9" t="n"/>
      <c r="F25" s="41" t="n"/>
      <c r="G25" s="6" t="n"/>
      <c r="H25" s="6" t="n"/>
      <c r="I25" s="6" t="n"/>
      <c r="J25" s="29" t="inlineStr">
        <is>
          <t>IRR - Tỷ suất hoàn vốn nội bộ</t>
        </is>
      </c>
      <c r="K25" s="49" t="n"/>
      <c r="L25" s="6" t="n"/>
      <c r="M25" s="6" t="n"/>
      <c r="N25" s="6" t="n"/>
      <c r="O25" s="6" t="n"/>
      <c r="P25" s="6" t="n"/>
      <c r="Q25" s="6" t="n"/>
      <c r="R25" s="6" t="n"/>
      <c r="S25" s="6" t="n"/>
      <c r="T25" s="6" t="n"/>
      <c r="U25" s="6" t="n"/>
      <c r="V25" s="6" t="n"/>
      <c r="W25" s="6" t="n"/>
      <c r="X25" s="6" t="n"/>
      <c r="Y25" s="6" t="n"/>
      <c r="Z25" s="6" t="n"/>
      <c r="AA25" s="6" t="n"/>
      <c r="AB25" s="6" t="n"/>
    </row>
    <row r="26">
      <c r="D26" s="6" t="n"/>
      <c r="E26" s="9" t="n"/>
      <c r="F26" s="41"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row>
    <row r="27">
      <c r="D27" s="6" t="n"/>
      <c r="E27" s="9" t="n"/>
      <c r="F27" s="41"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row>
    <row r="28">
      <c r="D28" s="6" t="n"/>
      <c r="E28" s="9" t="n"/>
      <c r="F28" s="41"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row>
    <row r="29">
      <c r="D29" s="6" t="n"/>
      <c r="E29" s="9" t="n"/>
      <c r="F29" s="41"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row>
    <row r="30">
      <c r="D30" s="6" t="n"/>
      <c r="E30" s="9" t="n"/>
      <c r="F30" s="41"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row>
    <row r="31">
      <c r="D31" s="6" t="n"/>
      <c r="E31" s="9" t="n"/>
      <c r="F31" s="41"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row>
    <row r="32">
      <c r="D32" s="6" t="n"/>
      <c r="E32" s="9" t="n"/>
      <c r="F32" s="41"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row>
    <row r="33">
      <c r="D33" s="6" t="n"/>
      <c r="E33" s="9" t="n"/>
      <c r="F33" s="41"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row>
    <row r="34">
      <c r="D34" s="6" t="n"/>
      <c r="E34" s="9" t="n"/>
      <c r="F34" s="41"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row>
    <row r="35">
      <c r="D35" s="6" t="n"/>
      <c r="E35" s="9" t="n"/>
      <c r="F35" s="41" t="n"/>
      <c r="G35" s="6" t="n"/>
      <c r="H35" s="6" t="n"/>
      <c r="I35" s="6" t="n"/>
      <c r="J35" s="6" t="n"/>
      <c r="K35" s="6" t="n"/>
      <c r="L35" s="6" t="n"/>
      <c r="M35" s="6" t="n"/>
      <c r="N35" s="6" t="n"/>
      <c r="O35" s="6" t="n"/>
      <c r="P35" s="6" t="n"/>
      <c r="Q35" s="6" t="n"/>
      <c r="R35" s="6" t="n"/>
      <c r="S35" s="6" t="n"/>
      <c r="T35" s="6" t="n"/>
      <c r="U35" s="6" t="n"/>
      <c r="V35" s="6" t="n"/>
      <c r="W35" s="6" t="n"/>
      <c r="X35" s="6" t="n"/>
      <c r="Y35" s="6" t="n"/>
      <c r="Z35" s="6" t="n"/>
      <c r="AA35" s="6" t="n"/>
      <c r="AB35" s="6" t="n"/>
    </row>
    <row r="36">
      <c r="D36" s="6" t="n"/>
      <c r="E36" s="9" t="n"/>
      <c r="F36" s="41"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row>
    <row r="37">
      <c r="D37" s="6" t="n"/>
      <c r="E37" s="9" t="n"/>
      <c r="F37" s="41" t="n"/>
      <c r="G37" s="6" t="n"/>
      <c r="H37" s="6" t="n"/>
      <c r="I37" s="6" t="n"/>
      <c r="J37" s="6" t="n"/>
      <c r="K37" s="6" t="n"/>
      <c r="L37" s="6" t="n"/>
      <c r="M37" s="6" t="n"/>
      <c r="N37" s="6" t="n"/>
      <c r="O37" s="6" t="n"/>
      <c r="P37" s="6" t="n"/>
      <c r="Q37" s="6" t="n"/>
      <c r="R37" s="6" t="n"/>
      <c r="S37" s="6" t="n"/>
      <c r="T37" s="6" t="n"/>
      <c r="U37" s="6" t="n"/>
      <c r="V37" s="6" t="n"/>
      <c r="W37" s="6" t="n"/>
      <c r="X37" s="6" t="n"/>
      <c r="Y37" s="6" t="n"/>
      <c r="Z37" s="6" t="n"/>
      <c r="AA37" s="6" t="n"/>
      <c r="AB37" s="6" t="n"/>
    </row>
    <row r="38">
      <c r="D38" s="6" t="n"/>
      <c r="E38" s="9" t="n"/>
      <c r="F38" s="41"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row>
    <row r="39">
      <c r="D39" s="6" t="n"/>
      <c r="E39" s="9" t="n"/>
      <c r="F39" s="41" t="n"/>
      <c r="G39" s="6" t="n"/>
      <c r="H39" s="6" t="n"/>
      <c r="I39" s="6" t="n"/>
      <c r="J39" s="6" t="n"/>
      <c r="K39" s="6" t="n"/>
      <c r="L39" s="6" t="n"/>
      <c r="M39" s="6" t="n"/>
      <c r="N39" s="6" t="n"/>
      <c r="O39" s="6" t="n"/>
      <c r="P39" s="6" t="n"/>
      <c r="Q39" s="6" t="n"/>
      <c r="R39" s="6" t="n"/>
      <c r="S39" s="6" t="n"/>
      <c r="T39" s="6" t="n"/>
      <c r="U39" s="6" t="n"/>
      <c r="V39" s="6" t="n"/>
      <c r="W39" s="6" t="n"/>
      <c r="X39" s="6" t="n"/>
      <c r="Y39" s="6" t="n"/>
      <c r="Z39" s="6" t="n"/>
      <c r="AA39" s="6" t="n"/>
      <c r="AB39" s="6" t="n"/>
    </row>
    <row r="40">
      <c r="D40" s="6" t="n"/>
      <c r="E40" s="9" t="n"/>
      <c r="F40" s="41"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row>
    <row r="41">
      <c r="D41" s="6" t="n"/>
      <c r="E41" s="9" t="n"/>
      <c r="F41" s="41" t="n"/>
      <c r="G41" s="6" t="n"/>
      <c r="H41" s="6" t="n"/>
      <c r="I41" s="6" t="n"/>
      <c r="J41" s="6" t="n"/>
      <c r="K41" s="6" t="n"/>
      <c r="L41" s="6" t="n"/>
      <c r="M41" s="6" t="n"/>
      <c r="N41" s="6" t="n"/>
      <c r="O41" s="6" t="n"/>
      <c r="P41" s="6" t="n"/>
      <c r="Q41" s="6" t="n"/>
      <c r="R41" s="6" t="n"/>
      <c r="S41" s="6" t="n"/>
      <c r="T41" s="6" t="n"/>
      <c r="U41" s="6" t="n"/>
      <c r="V41" s="6" t="n"/>
      <c r="W41" s="6" t="n"/>
      <c r="X41" s="6" t="n"/>
      <c r="Y41" s="6" t="n"/>
      <c r="Z41" s="6" t="n"/>
      <c r="AA41" s="6" t="n"/>
      <c r="AB41" s="6" t="n"/>
    </row>
    <row r="42">
      <c r="D42" s="6" t="n"/>
      <c r="E42" s="9" t="n"/>
      <c r="F42" s="41"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row>
    <row r="43">
      <c r="D43" s="6" t="n"/>
      <c r="E43" s="9" t="n"/>
      <c r="F43" s="41" t="n"/>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row>
    <row r="44">
      <c r="D44" s="6" t="n"/>
      <c r="E44" s="9" t="n"/>
      <c r="F44" s="41"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row>
    <row r="45">
      <c r="D45" s="6" t="n"/>
      <c r="E45" s="9" t="n"/>
      <c r="F45" s="41"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row>
    <row r="46">
      <c r="D46" s="6" t="n"/>
      <c r="E46" s="9" t="n"/>
      <c r="F46" s="41"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row>
    <row r="47">
      <c r="D47" s="6" t="n"/>
      <c r="E47" s="9" t="n"/>
      <c r="F47" s="41" t="n"/>
      <c r="G47" s="6" t="n"/>
      <c r="H47" s="6" t="n"/>
      <c r="I47" s="6" t="n"/>
      <c r="J47" s="6" t="n"/>
      <c r="K47" s="6" t="n"/>
      <c r="L47" s="6" t="n"/>
      <c r="M47" s="6" t="n"/>
      <c r="N47" s="6" t="n"/>
      <c r="O47" s="6" t="n"/>
      <c r="P47" s="6" t="n"/>
      <c r="Q47" s="6" t="n"/>
      <c r="R47" s="6" t="n"/>
      <c r="S47" s="6" t="n"/>
      <c r="T47" s="6" t="n"/>
      <c r="U47" s="6" t="n"/>
      <c r="V47" s="6" t="n"/>
      <c r="W47" s="6" t="n"/>
      <c r="X47" s="6" t="n"/>
      <c r="Y47" s="6" t="n"/>
      <c r="Z47" s="6" t="n"/>
      <c r="AA47" s="6" t="n"/>
      <c r="AB47" s="6" t="n"/>
    </row>
    <row r="48">
      <c r="D48" s="6" t="n"/>
      <c r="E48" s="9" t="n"/>
      <c r="F48" s="41"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row>
    <row r="49">
      <c r="D49" s="6" t="n"/>
      <c r="E49" s="9" t="n"/>
      <c r="F49" s="41" t="n"/>
      <c r="G49" s="6" t="n"/>
      <c r="H49" s="6" t="n"/>
      <c r="I49" s="6" t="n"/>
      <c r="J49" s="6" t="n"/>
      <c r="K49" s="6" t="n"/>
      <c r="L49" s="6" t="n"/>
      <c r="M49" s="6" t="n"/>
      <c r="N49" s="6" t="n"/>
      <c r="O49" s="6" t="n"/>
      <c r="P49" s="6" t="n"/>
      <c r="Q49" s="6" t="n"/>
      <c r="R49" s="6" t="n"/>
      <c r="S49" s="6" t="n"/>
      <c r="T49" s="6" t="n"/>
      <c r="U49" s="6" t="n"/>
      <c r="V49" s="6" t="n"/>
      <c r="W49" s="6" t="n"/>
      <c r="X49" s="6" t="n"/>
      <c r="Y49" s="6" t="n"/>
      <c r="Z49" s="6" t="n"/>
      <c r="AA49" s="6" t="n"/>
      <c r="AB49" s="6" t="n"/>
    </row>
    <row r="50">
      <c r="D50" s="6" t="n"/>
      <c r="E50" s="9" t="n"/>
      <c r="F50" s="41"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row>
    <row r="51">
      <c r="D51" s="6" t="n"/>
      <c r="E51" s="9" t="n"/>
      <c r="F51" s="41"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row>
    <row r="52">
      <c r="D52" s="6" t="n"/>
      <c r="E52" s="9" t="n"/>
      <c r="F52" s="41"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row>
    <row r="53">
      <c r="D53" s="6" t="n"/>
      <c r="E53" s="9" t="n"/>
      <c r="F53" s="41"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row>
    <row r="54">
      <c r="D54" s="6" t="n"/>
      <c r="E54" s="9" t="n"/>
      <c r="F54" s="41"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row>
    <row r="55">
      <c r="D55" s="6" t="n"/>
      <c r="E55" s="9" t="n"/>
      <c r="F55" s="41"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row>
    <row r="56">
      <c r="D56" s="6" t="n"/>
      <c r="E56" s="9" t="n"/>
      <c r="F56" s="41"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row>
    <row r="57">
      <c r="A57" s="65" t="n"/>
      <c r="B57" s="6" t="n"/>
      <c r="C57" s="6" t="n"/>
      <c r="D57" s="6" t="n"/>
      <c r="E57" s="9" t="n"/>
      <c r="F57" s="41"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row>
    <row r="58">
      <c r="A58" s="6" t="n"/>
      <c r="B58" s="6" t="n"/>
      <c r="C58" s="6" t="n"/>
      <c r="D58" s="6" t="n"/>
      <c r="E58" s="9" t="n"/>
      <c r="F58" s="41"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row>
    <row r="59">
      <c r="A59" s="6" t="n"/>
      <c r="B59" s="6" t="n"/>
      <c r="C59" s="6" t="n"/>
      <c r="D59" s="6" t="n"/>
      <c r="E59" s="9" t="n"/>
      <c r="F59" s="41"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row>
    <row r="60">
      <c r="A60" s="6" t="n"/>
      <c r="B60" s="6" t="n"/>
      <c r="C60" s="6" t="n"/>
      <c r="D60" s="6" t="n"/>
      <c r="E60" s="9" t="n"/>
      <c r="F60" s="41"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row>
    <row r="61">
      <c r="A61" s="6" t="n"/>
      <c r="B61" s="6" t="n"/>
      <c r="C61" s="6" t="n"/>
      <c r="D61" s="6" t="n"/>
      <c r="E61" s="9" t="n"/>
      <c r="F61" s="41" t="n"/>
      <c r="G61" s="6" t="n"/>
      <c r="H61" s="6" t="n"/>
      <c r="I61" s="6" t="n"/>
      <c r="J61" s="6" t="n"/>
      <c r="K61" s="6" t="n"/>
      <c r="L61" s="6" t="n"/>
      <c r="M61" s="6" t="n"/>
      <c r="N61" s="6" t="n"/>
      <c r="O61" s="6" t="n"/>
      <c r="P61" s="6" t="n"/>
      <c r="Q61" s="6" t="n"/>
      <c r="R61" s="6" t="n"/>
      <c r="S61" s="6" t="n"/>
      <c r="T61" s="6" t="n"/>
      <c r="U61" s="6" t="n"/>
      <c r="V61" s="6" t="n"/>
      <c r="W61" s="6" t="n"/>
      <c r="X61" s="6" t="n"/>
      <c r="Y61" s="6" t="n"/>
      <c r="Z61" s="6" t="n"/>
      <c r="AA61" s="6" t="n"/>
      <c r="AB61" s="6" t="n"/>
    </row>
    <row r="62">
      <c r="A62" s="6" t="n"/>
      <c r="B62" s="6" t="n"/>
      <c r="C62" s="6" t="n"/>
      <c r="D62" s="6" t="n"/>
      <c r="E62" s="9" t="n"/>
      <c r="F62" s="41" t="n"/>
      <c r="G62" s="6" t="n"/>
      <c r="H62" s="6" t="n"/>
      <c r="I62" s="6" t="n"/>
      <c r="J62" s="6" t="n"/>
      <c r="K62" s="6" t="n"/>
      <c r="L62" s="6" t="n"/>
      <c r="M62" s="6" t="n"/>
      <c r="N62" s="6" t="n"/>
      <c r="O62" s="6" t="n"/>
      <c r="P62" s="6" t="n"/>
      <c r="Q62" s="6" t="n"/>
      <c r="R62" s="6" t="n"/>
      <c r="S62" s="6" t="n"/>
      <c r="T62" s="6" t="n"/>
      <c r="U62" s="6" t="n"/>
      <c r="V62" s="6" t="n"/>
      <c r="W62" s="6" t="n"/>
      <c r="X62" s="6" t="n"/>
      <c r="Y62" s="6" t="n"/>
      <c r="Z62" s="6" t="n"/>
      <c r="AA62" s="6" t="n"/>
      <c r="AB62" s="6" t="n"/>
    </row>
    <row r="63">
      <c r="A63" s="6" t="n"/>
      <c r="B63" s="6" t="n"/>
      <c r="C63" s="6" t="n"/>
      <c r="D63" s="6" t="n"/>
      <c r="E63" s="9" t="n"/>
      <c r="F63" s="41" t="n"/>
      <c r="G63" s="6" t="n"/>
      <c r="H63" s="6" t="n"/>
      <c r="I63" s="6" t="n"/>
      <c r="J63" s="6" t="n"/>
      <c r="K63" s="6" t="n"/>
      <c r="L63" s="6" t="n"/>
      <c r="M63" s="6" t="n"/>
      <c r="N63" s="6" t="n"/>
      <c r="O63" s="6" t="n"/>
      <c r="P63" s="6" t="n"/>
      <c r="Q63" s="6" t="n"/>
      <c r="R63" s="6" t="n"/>
      <c r="S63" s="6" t="n"/>
      <c r="T63" s="6" t="n"/>
      <c r="U63" s="6" t="n"/>
      <c r="V63" s="6" t="n"/>
      <c r="W63" s="6" t="n"/>
      <c r="X63" s="6" t="n"/>
      <c r="Y63" s="6" t="n"/>
      <c r="Z63" s="6" t="n"/>
      <c r="AA63" s="6" t="n"/>
      <c r="AB63" s="6" t="n"/>
    </row>
    <row r="64">
      <c r="A64" s="6" t="n"/>
      <c r="B64" s="6" t="n"/>
      <c r="C64" s="6" t="n"/>
      <c r="D64" s="6" t="n"/>
      <c r="E64" s="9" t="n"/>
      <c r="F64" s="41" t="n"/>
      <c r="G64" s="6" t="n"/>
      <c r="H64" s="6" t="n"/>
      <c r="I64" s="6" t="n"/>
      <c r="J64" s="6" t="n"/>
      <c r="K64" s="6" t="n"/>
      <c r="L64" s="6" t="n"/>
      <c r="M64" s="6" t="n"/>
      <c r="N64" s="6" t="n"/>
      <c r="O64" s="6" t="n"/>
      <c r="P64" s="6" t="n"/>
      <c r="Q64" s="6" t="n"/>
      <c r="R64" s="6" t="n"/>
      <c r="S64" s="6" t="n"/>
      <c r="T64" s="6" t="n"/>
      <c r="U64" s="6" t="n"/>
      <c r="V64" s="6" t="n"/>
      <c r="W64" s="6" t="n"/>
      <c r="X64" s="6" t="n"/>
      <c r="Y64" s="6" t="n"/>
      <c r="Z64" s="6" t="n"/>
      <c r="AA64" s="6" t="n"/>
      <c r="AB64" s="6" t="n"/>
    </row>
    <row r="65">
      <c r="A65" s="6" t="n"/>
      <c r="B65" s="6" t="n"/>
      <c r="C65" s="6" t="n"/>
      <c r="D65" s="6" t="n"/>
      <c r="E65" s="9" t="n"/>
      <c r="F65" s="41" t="n"/>
      <c r="G65" s="6" t="n"/>
      <c r="H65" s="6" t="n"/>
      <c r="I65" s="6" t="n"/>
      <c r="J65" s="6" t="n"/>
      <c r="K65" s="6" t="n"/>
      <c r="L65" s="6" t="n"/>
      <c r="M65" s="6" t="n"/>
      <c r="N65" s="6" t="n"/>
      <c r="O65" s="6" t="n"/>
      <c r="P65" s="6" t="n"/>
      <c r="Q65" s="6" t="n"/>
      <c r="R65" s="6" t="n"/>
      <c r="S65" s="6" t="n"/>
      <c r="T65" s="6" t="n"/>
      <c r="U65" s="6" t="n"/>
      <c r="V65" s="6" t="n"/>
      <c r="W65" s="6" t="n"/>
      <c r="X65" s="6" t="n"/>
      <c r="Y65" s="6" t="n"/>
      <c r="Z65" s="6" t="n"/>
      <c r="AA65" s="6" t="n"/>
      <c r="AB65" s="6" t="n"/>
    </row>
    <row r="66">
      <c r="A66" s="6" t="n"/>
      <c r="B66" s="6" t="n"/>
      <c r="C66" s="6" t="n"/>
      <c r="D66" s="6" t="n"/>
      <c r="E66" s="9" t="n"/>
      <c r="F66" s="41" t="n"/>
      <c r="G66" s="6" t="n"/>
      <c r="H66" s="6" t="n"/>
      <c r="I66" s="6" t="n"/>
      <c r="J66" s="6" t="n"/>
      <c r="K66" s="6" t="n"/>
      <c r="L66" s="6" t="n"/>
      <c r="M66" s="6" t="n"/>
      <c r="N66" s="6" t="n"/>
      <c r="O66" s="6" t="n"/>
      <c r="P66" s="6" t="n"/>
      <c r="Q66" s="6" t="n"/>
      <c r="R66" s="6" t="n"/>
      <c r="S66" s="6" t="n"/>
      <c r="T66" s="6" t="n"/>
      <c r="U66" s="6" t="n"/>
      <c r="V66" s="6" t="n"/>
      <c r="W66" s="6" t="n"/>
      <c r="X66" s="6" t="n"/>
      <c r="Y66" s="6" t="n"/>
      <c r="Z66" s="6" t="n"/>
      <c r="AA66" s="6" t="n"/>
      <c r="AB66" s="6" t="n"/>
    </row>
    <row r="67">
      <c r="A67" s="6" t="n"/>
      <c r="B67" s="6" t="n"/>
      <c r="C67" s="6" t="n"/>
      <c r="D67" s="6" t="n"/>
      <c r="E67" s="9" t="n"/>
      <c r="F67" s="41" t="n"/>
      <c r="G67" s="6" t="n"/>
      <c r="H67" s="6" t="n"/>
      <c r="I67" s="6" t="n"/>
      <c r="J67" s="6" t="n"/>
      <c r="K67" s="6" t="n"/>
      <c r="L67" s="6" t="n"/>
      <c r="M67" s="6" t="n"/>
      <c r="N67" s="6" t="n"/>
      <c r="O67" s="6" t="n"/>
      <c r="P67" s="6" t="n"/>
      <c r="Q67" s="6" t="n"/>
      <c r="R67" s="6" t="n"/>
      <c r="S67" s="6" t="n"/>
      <c r="T67" s="6" t="n"/>
      <c r="U67" s="6" t="n"/>
      <c r="V67" s="6" t="n"/>
      <c r="W67" s="6" t="n"/>
      <c r="X67" s="6" t="n"/>
      <c r="Y67" s="6" t="n"/>
      <c r="Z67" s="6" t="n"/>
      <c r="AA67" s="6" t="n"/>
      <c r="AB67" s="6" t="n"/>
    </row>
    <row r="68">
      <c r="A68" s="6" t="n"/>
      <c r="B68" s="6" t="n"/>
      <c r="C68" s="6" t="n"/>
      <c r="D68" s="6" t="n"/>
      <c r="E68" s="9" t="n"/>
      <c r="F68" s="41" t="n"/>
      <c r="G68" s="6" t="n"/>
      <c r="H68" s="6" t="n"/>
      <c r="I68" s="6" t="n"/>
      <c r="J68" s="6" t="n"/>
      <c r="K68" s="6" t="n"/>
      <c r="L68" s="6" t="n"/>
      <c r="M68" s="6" t="n"/>
      <c r="N68" s="6" t="n"/>
      <c r="O68" s="6" t="n"/>
      <c r="P68" s="6" t="n"/>
      <c r="Q68" s="6" t="n"/>
      <c r="R68" s="6" t="n"/>
      <c r="S68" s="6" t="n"/>
      <c r="T68" s="6" t="n"/>
      <c r="U68" s="6" t="n"/>
      <c r="V68" s="6" t="n"/>
      <c r="W68" s="6" t="n"/>
      <c r="X68" s="6" t="n"/>
      <c r="Y68" s="6" t="n"/>
      <c r="Z68" s="6" t="n"/>
      <c r="AA68" s="6" t="n"/>
      <c r="AB68" s="6" t="n"/>
    </row>
    <row r="69">
      <c r="A69" s="6" t="n"/>
      <c r="B69" s="6" t="n"/>
      <c r="C69" s="6" t="n"/>
      <c r="D69" s="6" t="n"/>
      <c r="E69" s="9" t="n"/>
      <c r="F69" s="41" t="n"/>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row>
    <row r="70">
      <c r="A70" s="6" t="n"/>
      <c r="B70" s="6" t="n"/>
      <c r="C70" s="6" t="n"/>
      <c r="D70" s="6" t="n"/>
      <c r="E70" s="9" t="n"/>
      <c r="F70" s="41" t="n"/>
      <c r="G70" s="6" t="n"/>
      <c r="H70" s="6" t="n"/>
      <c r="I70" s="6" t="n"/>
      <c r="J70" s="6" t="n"/>
      <c r="K70" s="6" t="n"/>
      <c r="L70" s="6" t="n"/>
      <c r="M70" s="6" t="n"/>
      <c r="N70" s="6" t="n"/>
      <c r="O70" s="6" t="n"/>
      <c r="P70" s="6" t="n"/>
      <c r="Q70" s="6" t="n"/>
      <c r="R70" s="6" t="n"/>
      <c r="S70" s="6" t="n"/>
      <c r="T70" s="6" t="n"/>
      <c r="U70" s="6" t="n"/>
      <c r="V70" s="6" t="n"/>
      <c r="W70" s="6" t="n"/>
      <c r="X70" s="6" t="n"/>
      <c r="Y70" s="6" t="n"/>
      <c r="Z70" s="6" t="n"/>
      <c r="AA70" s="6" t="n"/>
      <c r="AB70" s="6" t="n"/>
    </row>
    <row r="71">
      <c r="A71" s="6" t="n"/>
      <c r="B71" s="6" t="n"/>
      <c r="C71" s="6" t="n"/>
      <c r="D71" s="6" t="n"/>
      <c r="E71" s="9" t="n"/>
      <c r="F71" s="41" t="n"/>
      <c r="G71" s="6" t="n"/>
      <c r="H71" s="6" t="n"/>
      <c r="I71" s="6" t="n"/>
      <c r="J71" s="6" t="n"/>
      <c r="K71" s="6" t="n"/>
      <c r="L71" s="6" t="n"/>
      <c r="M71" s="6" t="n"/>
      <c r="N71" s="6" t="n"/>
      <c r="O71" s="6" t="n"/>
      <c r="P71" s="6" t="n"/>
      <c r="Q71" s="6" t="n"/>
      <c r="R71" s="6" t="n"/>
      <c r="S71" s="6" t="n"/>
      <c r="T71" s="6" t="n"/>
      <c r="U71" s="6" t="n"/>
      <c r="V71" s="6" t="n"/>
      <c r="W71" s="6" t="n"/>
      <c r="X71" s="6" t="n"/>
      <c r="Y71" s="6" t="n"/>
      <c r="Z71" s="6" t="n"/>
      <c r="AA71" s="6" t="n"/>
      <c r="AB71" s="6" t="n"/>
    </row>
    <row r="72">
      <c r="A72" s="6" t="n"/>
      <c r="B72" s="6" t="n"/>
      <c r="C72" s="6" t="n"/>
      <c r="D72" s="6" t="n"/>
      <c r="E72" s="9" t="n"/>
      <c r="F72" s="41" t="n"/>
      <c r="G72" s="6" t="n"/>
      <c r="H72" s="6" t="n"/>
      <c r="I72" s="6" t="n"/>
      <c r="J72" s="6" t="n"/>
      <c r="K72" s="6" t="n"/>
      <c r="L72" s="6" t="n"/>
      <c r="M72" s="6" t="n"/>
      <c r="N72" s="6" t="n"/>
      <c r="O72" s="6" t="n"/>
      <c r="P72" s="6" t="n"/>
      <c r="Q72" s="6" t="n"/>
      <c r="R72" s="6" t="n"/>
      <c r="S72" s="6" t="n"/>
      <c r="T72" s="6" t="n"/>
      <c r="U72" s="6" t="n"/>
      <c r="V72" s="6" t="n"/>
      <c r="W72" s="6" t="n"/>
      <c r="X72" s="6" t="n"/>
      <c r="Y72" s="6" t="n"/>
      <c r="Z72" s="6" t="n"/>
      <c r="AA72" s="6" t="n"/>
      <c r="AB72" s="6" t="n"/>
    </row>
    <row r="73">
      <c r="A73" s="6" t="n"/>
      <c r="B73" s="6" t="n"/>
      <c r="C73" s="6" t="n"/>
      <c r="D73" s="6" t="n"/>
      <c r="E73" s="9" t="n"/>
      <c r="F73" s="41" t="n"/>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row>
    <row r="74">
      <c r="A74" s="6" t="n"/>
      <c r="B74" s="6" t="n"/>
      <c r="C74" s="6" t="n"/>
      <c r="D74" s="6" t="n"/>
      <c r="E74" s="9" t="n"/>
      <c r="F74" s="41" t="n"/>
      <c r="G74" s="6" t="n"/>
      <c r="H74" s="6" t="n"/>
      <c r="I74" s="6" t="n"/>
      <c r="J74" s="6" t="n"/>
      <c r="K74" s="6" t="n"/>
      <c r="L74" s="6" t="n"/>
      <c r="M74" s="6" t="n"/>
      <c r="N74" s="6" t="n"/>
      <c r="O74" s="6" t="n"/>
      <c r="P74" s="6" t="n"/>
      <c r="Q74" s="6" t="n"/>
      <c r="R74" s="6" t="n"/>
      <c r="S74" s="6" t="n"/>
      <c r="T74" s="6" t="n"/>
      <c r="U74" s="6" t="n"/>
      <c r="V74" s="6" t="n"/>
      <c r="W74" s="6" t="n"/>
      <c r="X74" s="6" t="n"/>
      <c r="Y74" s="6" t="n"/>
      <c r="Z74" s="6" t="n"/>
      <c r="AA74" s="6" t="n"/>
      <c r="AB74" s="6" t="n"/>
    </row>
    <row r="75">
      <c r="A75" s="6" t="n"/>
      <c r="B75" s="6" t="n"/>
      <c r="C75" s="6" t="n"/>
      <c r="D75" s="6" t="n"/>
      <c r="E75" s="9" t="n"/>
      <c r="F75" s="41" t="n"/>
      <c r="G75" s="6" t="n"/>
      <c r="H75" s="6" t="n"/>
      <c r="I75" s="6" t="n"/>
      <c r="J75" s="6" t="n"/>
      <c r="K75" s="6" t="n"/>
      <c r="L75" s="6" t="n"/>
      <c r="M75" s="6" t="n"/>
      <c r="N75" s="6" t="n"/>
      <c r="O75" s="6" t="n"/>
      <c r="P75" s="6" t="n"/>
      <c r="Q75" s="6" t="n"/>
      <c r="R75" s="6" t="n"/>
      <c r="S75" s="6" t="n"/>
      <c r="T75" s="6" t="n"/>
      <c r="U75" s="6" t="n"/>
      <c r="V75" s="6" t="n"/>
      <c r="W75" s="6" t="n"/>
      <c r="X75" s="6" t="n"/>
      <c r="Y75" s="6" t="n"/>
      <c r="Z75" s="6" t="n"/>
      <c r="AA75" s="6" t="n"/>
      <c r="AB75" s="6" t="n"/>
    </row>
    <row r="76">
      <c r="A76" s="6" t="n"/>
      <c r="B76" s="6" t="n"/>
      <c r="C76" s="6" t="n"/>
      <c r="D76" s="6" t="n"/>
      <c r="E76" s="9" t="n"/>
      <c r="F76" s="41" t="n"/>
      <c r="G76" s="6" t="n"/>
      <c r="H76" s="6" t="n"/>
      <c r="I76" s="6" t="n"/>
      <c r="J76" s="6" t="n"/>
      <c r="K76" s="6" t="n"/>
      <c r="L76" s="6" t="n"/>
      <c r="M76" s="6" t="n"/>
      <c r="N76" s="6" t="n"/>
      <c r="O76" s="6" t="n"/>
      <c r="P76" s="6" t="n"/>
      <c r="Q76" s="6" t="n"/>
      <c r="R76" s="6" t="n"/>
      <c r="S76" s="6" t="n"/>
      <c r="T76" s="6" t="n"/>
      <c r="U76" s="6" t="n"/>
      <c r="V76" s="6" t="n"/>
      <c r="W76" s="6" t="n"/>
      <c r="X76" s="6" t="n"/>
      <c r="Y76" s="6" t="n"/>
      <c r="Z76" s="6" t="n"/>
      <c r="AA76" s="6" t="n"/>
      <c r="AB76" s="6" t="n"/>
    </row>
    <row r="77">
      <c r="A77" s="6" t="n"/>
      <c r="B77" s="6" t="n"/>
      <c r="C77" s="6" t="n"/>
      <c r="D77" s="6" t="n"/>
      <c r="E77" s="9" t="n"/>
      <c r="F77" s="41"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row>
    <row r="78">
      <c r="A78" s="6" t="n"/>
      <c r="B78" s="6" t="n"/>
      <c r="C78" s="6" t="n"/>
      <c r="D78" s="6" t="n"/>
      <c r="E78" s="9" t="n"/>
      <c r="F78" s="41"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row>
    <row r="79">
      <c r="A79" s="6" t="n"/>
      <c r="B79" s="6" t="n"/>
      <c r="C79" s="6" t="n"/>
      <c r="D79" s="6" t="n"/>
      <c r="E79" s="9" t="n"/>
      <c r="F79" s="41"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row>
    <row r="80">
      <c r="A80" s="6" t="n"/>
      <c r="B80" s="6" t="n"/>
      <c r="C80" s="6" t="n"/>
      <c r="D80" s="6" t="n"/>
      <c r="E80" s="9" t="n"/>
      <c r="F80" s="41"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row>
    <row r="81">
      <c r="A81" s="6" t="n"/>
      <c r="B81" s="6" t="n"/>
      <c r="C81" s="6" t="n"/>
      <c r="D81" s="6" t="n"/>
      <c r="E81" s="9" t="n"/>
      <c r="F81" s="41"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row>
    <row r="82">
      <c r="A82" s="6" t="n"/>
      <c r="B82" s="6" t="n"/>
      <c r="C82" s="6" t="n"/>
      <c r="D82" s="6" t="n"/>
      <c r="E82" s="9" t="n"/>
      <c r="F82" s="41"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row>
    <row r="83">
      <c r="A83" s="6" t="n"/>
      <c r="B83" s="6" t="n"/>
      <c r="C83" s="6" t="n"/>
      <c r="D83" s="6" t="n"/>
      <c r="E83" s="9" t="n"/>
      <c r="F83" s="41" t="n"/>
      <c r="G83" s="6" t="n"/>
      <c r="H83" s="6" t="n"/>
      <c r="I83" s="6" t="n"/>
      <c r="J83" s="6" t="n"/>
      <c r="K83" s="6" t="n"/>
      <c r="L83" s="6" t="n"/>
      <c r="M83" s="6" t="n"/>
      <c r="N83" s="6" t="n"/>
      <c r="O83" s="6" t="n"/>
      <c r="P83" s="6" t="n"/>
      <c r="Q83" s="6" t="n"/>
      <c r="R83" s="6" t="n"/>
      <c r="S83" s="6" t="n"/>
      <c r="T83" s="6" t="n"/>
      <c r="U83" s="6" t="n"/>
      <c r="V83" s="6" t="n"/>
      <c r="W83" s="6" t="n"/>
      <c r="X83" s="6" t="n"/>
      <c r="Y83" s="6" t="n"/>
      <c r="Z83" s="6" t="n"/>
      <c r="AA83" s="6" t="n"/>
      <c r="AB83" s="6" t="n"/>
    </row>
    <row r="84">
      <c r="A84" s="6" t="n"/>
      <c r="B84" s="6" t="n"/>
      <c r="C84" s="6" t="n"/>
      <c r="D84" s="6" t="n"/>
      <c r="E84" s="9" t="n"/>
      <c r="F84" s="41"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row>
    <row r="85">
      <c r="A85" s="6" t="n"/>
      <c r="B85" s="6" t="n"/>
      <c r="C85" s="6" t="n"/>
      <c r="D85" s="6" t="n"/>
      <c r="E85" s="9" t="n"/>
      <c r="F85" s="41" t="n"/>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n"/>
    </row>
    <row r="86">
      <c r="A86" s="6" t="n"/>
      <c r="B86" s="6" t="n"/>
      <c r="C86" s="6" t="n"/>
      <c r="D86" s="6" t="n"/>
      <c r="E86" s="9" t="n"/>
      <c r="F86" s="41"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row>
    <row r="87">
      <c r="A87" s="6" t="n"/>
      <c r="B87" s="6" t="n"/>
      <c r="C87" s="6" t="n"/>
      <c r="D87" s="6" t="n"/>
      <c r="E87" s="9" t="n"/>
      <c r="F87" s="41"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row>
    <row r="88">
      <c r="A88" s="6" t="n"/>
      <c r="B88" s="6" t="n"/>
      <c r="C88" s="6" t="n"/>
      <c r="D88" s="6" t="n"/>
      <c r="E88" s="9" t="n"/>
      <c r="F88" s="41"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row>
    <row r="89">
      <c r="A89" s="6" t="n"/>
      <c r="B89" s="6" t="n"/>
      <c r="C89" s="6" t="n"/>
      <c r="D89" s="6" t="n"/>
      <c r="E89" s="9" t="n"/>
      <c r="F89" s="41" t="n"/>
      <c r="G89" s="6" t="n"/>
      <c r="H89" s="6" t="n"/>
      <c r="I89" s="6" t="n"/>
      <c r="J89" s="6" t="n"/>
      <c r="K89" s="6" t="n"/>
      <c r="L89" s="6" t="n"/>
      <c r="M89" s="6" t="n"/>
      <c r="N89" s="6" t="n"/>
      <c r="O89" s="6" t="n"/>
      <c r="P89" s="6" t="n"/>
      <c r="Q89" s="6" t="n"/>
      <c r="R89" s="6" t="n"/>
      <c r="S89" s="6" t="n"/>
      <c r="T89" s="6" t="n"/>
      <c r="U89" s="6" t="n"/>
      <c r="V89" s="6" t="n"/>
      <c r="W89" s="6" t="n"/>
      <c r="X89" s="6" t="n"/>
      <c r="Y89" s="6" t="n"/>
      <c r="Z89" s="6" t="n"/>
      <c r="AA89" s="6" t="n"/>
      <c r="AB89" s="6" t="n"/>
    </row>
    <row r="90">
      <c r="A90" s="6" t="n"/>
      <c r="B90" s="6" t="n"/>
      <c r="C90" s="6" t="n"/>
      <c r="D90" s="6" t="n"/>
      <c r="E90" s="9" t="n"/>
      <c r="F90" s="41"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row>
    <row r="91">
      <c r="A91" s="6" t="n"/>
      <c r="B91" s="6" t="n"/>
      <c r="C91" s="6" t="n"/>
      <c r="D91" s="6" t="n"/>
      <c r="E91" s="9" t="n"/>
      <c r="F91" s="41" t="n"/>
      <c r="G91" s="6" t="n"/>
      <c r="H91" s="6" t="n"/>
      <c r="I91" s="6" t="n"/>
      <c r="J91" s="6" t="n"/>
      <c r="K91" s="6" t="n"/>
      <c r="L91" s="6" t="n"/>
      <c r="M91" s="6" t="n"/>
      <c r="N91" s="6" t="n"/>
      <c r="O91" s="6" t="n"/>
      <c r="P91" s="6" t="n"/>
      <c r="Q91" s="6" t="n"/>
      <c r="R91" s="6" t="n"/>
      <c r="S91" s="6" t="n"/>
      <c r="T91" s="6" t="n"/>
      <c r="U91" s="6" t="n"/>
      <c r="V91" s="6" t="n"/>
      <c r="W91" s="6" t="n"/>
      <c r="X91" s="6" t="n"/>
      <c r="Y91" s="6" t="n"/>
      <c r="Z91" s="6" t="n"/>
      <c r="AA91" s="6" t="n"/>
      <c r="AB91" s="6" t="n"/>
    </row>
    <row r="92">
      <c r="A92" s="6" t="n"/>
      <c r="B92" s="6" t="n"/>
      <c r="C92" s="6" t="n"/>
      <c r="D92" s="6" t="n"/>
      <c r="E92" s="9" t="n"/>
      <c r="F92" s="41"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row>
    <row r="93">
      <c r="A93" s="6" t="n"/>
      <c r="B93" s="6" t="n"/>
      <c r="C93" s="6" t="n"/>
      <c r="D93" s="6" t="n"/>
      <c r="E93" s="9" t="n"/>
      <c r="F93" s="41" t="n"/>
      <c r="G93" s="6" t="n"/>
      <c r="H93" s="6" t="n"/>
      <c r="I93" s="6" t="n"/>
      <c r="J93" s="6" t="n"/>
      <c r="K93" s="6" t="n"/>
      <c r="L93" s="6" t="n"/>
      <c r="M93" s="6" t="n"/>
      <c r="N93" s="6" t="n"/>
      <c r="O93" s="6" t="n"/>
      <c r="P93" s="6" t="n"/>
      <c r="Q93" s="6" t="n"/>
      <c r="R93" s="6" t="n"/>
      <c r="S93" s="6" t="n"/>
      <c r="T93" s="6" t="n"/>
      <c r="U93" s="6" t="n"/>
      <c r="V93" s="6" t="n"/>
      <c r="W93" s="6" t="n"/>
      <c r="X93" s="6" t="n"/>
      <c r="Y93" s="6" t="n"/>
      <c r="Z93" s="6" t="n"/>
      <c r="AA93" s="6" t="n"/>
      <c r="AB93" s="6" t="n"/>
    </row>
    <row r="94">
      <c r="A94" s="6" t="n"/>
      <c r="B94" s="6" t="n"/>
      <c r="C94" s="6" t="n"/>
      <c r="D94" s="6" t="n"/>
      <c r="E94" s="9" t="n"/>
      <c r="F94" s="41" t="n"/>
      <c r="G94" s="6" t="n"/>
      <c r="H94" s="6" t="n"/>
      <c r="I94" s="6" t="n"/>
      <c r="J94" s="6" t="n"/>
      <c r="K94" s="6" t="n"/>
      <c r="L94" s="6" t="n"/>
      <c r="M94" s="6" t="n"/>
      <c r="N94" s="6" t="n"/>
      <c r="O94" s="6" t="n"/>
      <c r="P94" s="6" t="n"/>
      <c r="Q94" s="6" t="n"/>
      <c r="R94" s="6" t="n"/>
      <c r="S94" s="6" t="n"/>
      <c r="T94" s="6" t="n"/>
      <c r="U94" s="6" t="n"/>
      <c r="V94" s="6" t="n"/>
      <c r="W94" s="6" t="n"/>
      <c r="X94" s="6" t="n"/>
      <c r="Y94" s="6" t="n"/>
      <c r="Z94" s="6" t="n"/>
      <c r="AA94" s="6" t="n"/>
      <c r="AB94" s="6" t="n"/>
    </row>
    <row r="95">
      <c r="A95" s="6" t="n"/>
      <c r="B95" s="6" t="n"/>
      <c r="C95" s="6" t="n"/>
      <c r="D95" s="6" t="n"/>
      <c r="E95" s="9" t="n"/>
      <c r="F95" s="41" t="n"/>
      <c r="G95" s="6" t="n"/>
      <c r="H95" s="6" t="n"/>
      <c r="I95" s="6" t="n"/>
      <c r="J95" s="6" t="n"/>
      <c r="K95" s="6" t="n"/>
      <c r="L95" s="6" t="n"/>
      <c r="M95" s="6" t="n"/>
      <c r="N95" s="6" t="n"/>
      <c r="O95" s="6" t="n"/>
      <c r="P95" s="6" t="n"/>
      <c r="Q95" s="6" t="n"/>
      <c r="R95" s="6" t="n"/>
      <c r="S95" s="6" t="n"/>
      <c r="T95" s="6" t="n"/>
      <c r="U95" s="6" t="n"/>
      <c r="V95" s="6" t="n"/>
      <c r="W95" s="6" t="n"/>
      <c r="X95" s="6" t="n"/>
      <c r="Y95" s="6" t="n"/>
      <c r="Z95" s="6" t="n"/>
      <c r="AA95" s="6" t="n"/>
      <c r="AB95" s="6" t="n"/>
    </row>
    <row r="96">
      <c r="A96" s="6" t="n"/>
      <c r="B96" s="6" t="n"/>
      <c r="C96" s="6" t="n"/>
      <c r="D96" s="6" t="n"/>
      <c r="E96" s="9" t="n"/>
      <c r="F96" s="41" t="n"/>
      <c r="G96" s="6" t="n"/>
      <c r="H96" s="6" t="n"/>
      <c r="I96" s="6" t="n"/>
      <c r="J96" s="6" t="n"/>
      <c r="K96" s="6" t="n"/>
      <c r="L96" s="6" t="n"/>
      <c r="M96" s="6" t="n"/>
      <c r="N96" s="6" t="n"/>
      <c r="O96" s="6" t="n"/>
      <c r="P96" s="6" t="n"/>
      <c r="Q96" s="6" t="n"/>
      <c r="R96" s="6" t="n"/>
      <c r="S96" s="6" t="n"/>
      <c r="T96" s="6" t="n"/>
      <c r="U96" s="6" t="n"/>
      <c r="V96" s="6" t="n"/>
      <c r="W96" s="6" t="n"/>
      <c r="X96" s="6" t="n"/>
      <c r="Y96" s="6" t="n"/>
      <c r="Z96" s="6" t="n"/>
      <c r="AA96" s="6" t="n"/>
      <c r="AB96" s="6" t="n"/>
    </row>
    <row r="97">
      <c r="A97" s="6" t="n"/>
      <c r="B97" s="6" t="n"/>
      <c r="C97" s="6" t="n"/>
      <c r="D97" s="6" t="n"/>
      <c r="E97" s="9" t="n"/>
      <c r="F97" s="41" t="n"/>
      <c r="G97" s="6" t="n"/>
      <c r="H97" s="6" t="n"/>
      <c r="I97" s="6" t="n"/>
      <c r="J97" s="6" t="n"/>
      <c r="K97" s="6" t="n"/>
      <c r="L97" s="6" t="n"/>
      <c r="M97" s="6" t="n"/>
      <c r="N97" s="6" t="n"/>
      <c r="O97" s="6" t="n"/>
      <c r="P97" s="6" t="n"/>
      <c r="Q97" s="6" t="n"/>
      <c r="R97" s="6" t="n"/>
      <c r="S97" s="6" t="n"/>
      <c r="T97" s="6" t="n"/>
      <c r="U97" s="6" t="n"/>
      <c r="V97" s="6" t="n"/>
      <c r="W97" s="6" t="n"/>
      <c r="X97" s="6" t="n"/>
      <c r="Y97" s="6" t="n"/>
      <c r="Z97" s="6" t="n"/>
      <c r="AA97" s="6" t="n"/>
      <c r="AB97" s="6" t="n"/>
    </row>
    <row r="98">
      <c r="A98" s="6" t="n"/>
      <c r="B98" s="6" t="n"/>
      <c r="C98" s="6" t="n"/>
      <c r="D98" s="6" t="n"/>
      <c r="E98" s="9" t="n"/>
      <c r="F98" s="41" t="n"/>
      <c r="G98" s="6" t="n"/>
      <c r="H98" s="6" t="n"/>
      <c r="I98" s="6" t="n"/>
      <c r="J98" s="6" t="n"/>
      <c r="K98" s="6" t="n"/>
      <c r="L98" s="6" t="n"/>
      <c r="M98" s="6" t="n"/>
      <c r="N98" s="6" t="n"/>
      <c r="O98" s="6" t="n"/>
      <c r="P98" s="6" t="n"/>
      <c r="Q98" s="6" t="n"/>
      <c r="R98" s="6" t="n"/>
      <c r="S98" s="6" t="n"/>
      <c r="T98" s="6" t="n"/>
      <c r="U98" s="6" t="n"/>
      <c r="V98" s="6" t="n"/>
      <c r="W98" s="6" t="n"/>
      <c r="X98" s="6" t="n"/>
      <c r="Y98" s="6" t="n"/>
      <c r="Z98" s="6" t="n"/>
      <c r="AA98" s="6" t="n"/>
      <c r="AB98" s="6" t="n"/>
    </row>
    <row r="99">
      <c r="A99" s="6" t="n"/>
      <c r="B99" s="6" t="n"/>
      <c r="C99" s="6" t="n"/>
      <c r="D99" s="6" t="n"/>
      <c r="E99" s="9" t="n"/>
      <c r="F99" s="41"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row>
    <row r="100">
      <c r="A100" s="6" t="n"/>
      <c r="B100" s="6" t="n"/>
      <c r="C100" s="6" t="n"/>
      <c r="D100" s="6" t="n"/>
      <c r="E100" s="9" t="n"/>
      <c r="F100" s="41"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row>
    <row r="101">
      <c r="A101" s="6" t="n"/>
      <c r="B101" s="6" t="n"/>
      <c r="C101" s="6" t="n"/>
      <c r="D101" s="6" t="n"/>
      <c r="E101" s="9" t="n"/>
      <c r="F101" s="41"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c r="AB101" s="6" t="n"/>
    </row>
    <row r="102">
      <c r="A102" s="6" t="n"/>
      <c r="B102" s="6" t="n"/>
      <c r="C102" s="6" t="n"/>
      <c r="D102" s="6" t="n"/>
      <c r="E102" s="9" t="n"/>
      <c r="F102" s="41"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c r="AB102" s="6" t="n"/>
    </row>
    <row r="103">
      <c r="A103" s="6" t="n"/>
      <c r="B103" s="6" t="n"/>
      <c r="C103" s="6" t="n"/>
      <c r="D103" s="6" t="n"/>
      <c r="E103" s="9" t="n"/>
      <c r="F103" s="41"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row>
    <row r="104">
      <c r="A104" s="6" t="n"/>
      <c r="B104" s="6" t="n"/>
      <c r="C104" s="6" t="n"/>
      <c r="D104" s="6" t="n"/>
      <c r="E104" s="9" t="n"/>
      <c r="F104" s="41"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row>
    <row r="105">
      <c r="A105" s="6" t="n"/>
      <c r="B105" s="6" t="n"/>
      <c r="C105" s="6" t="n"/>
      <c r="D105" s="6" t="n"/>
      <c r="E105" s="9" t="n"/>
      <c r="F105" s="41"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row>
    <row r="106">
      <c r="A106" s="6" t="n"/>
      <c r="B106" s="6" t="n"/>
      <c r="C106" s="6" t="n"/>
      <c r="D106" s="6" t="n"/>
      <c r="E106" s="9" t="n"/>
      <c r="F106" s="41"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row>
    <row r="107">
      <c r="A107" s="6" t="n"/>
      <c r="B107" s="6" t="n"/>
      <c r="C107" s="6" t="n"/>
      <c r="D107" s="6" t="n"/>
      <c r="E107" s="9" t="n"/>
      <c r="F107" s="41"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row>
    <row r="108">
      <c r="A108" s="6" t="n"/>
      <c r="B108" s="6" t="n"/>
      <c r="C108" s="6" t="n"/>
      <c r="D108" s="6" t="n"/>
      <c r="E108" s="9" t="n"/>
      <c r="F108" s="41"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row>
    <row r="109">
      <c r="A109" s="6" t="n"/>
      <c r="B109" s="6" t="n"/>
      <c r="C109" s="6" t="n"/>
      <c r="D109" s="6" t="n"/>
      <c r="E109" s="9" t="n"/>
      <c r="F109" s="41"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row>
    <row r="110">
      <c r="A110" s="6" t="n"/>
      <c r="B110" s="6" t="n"/>
      <c r="C110" s="6" t="n"/>
      <c r="D110" s="6" t="n"/>
      <c r="E110" s="9" t="n"/>
      <c r="F110" s="41"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row>
    <row r="111">
      <c r="A111" s="6" t="n"/>
      <c r="B111" s="6" t="n"/>
      <c r="C111" s="6" t="n"/>
      <c r="D111" s="6" t="n"/>
      <c r="E111" s="9" t="n"/>
      <c r="F111" s="41"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row>
    <row r="112">
      <c r="A112" s="6" t="n"/>
      <c r="B112" s="6" t="n"/>
      <c r="C112" s="6" t="n"/>
      <c r="D112" s="6" t="n"/>
      <c r="E112" s="9" t="n"/>
      <c r="F112" s="41"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row>
    <row r="113">
      <c r="A113" s="6" t="n"/>
      <c r="B113" s="6" t="n"/>
      <c r="C113" s="6" t="n"/>
      <c r="D113" s="6" t="n"/>
      <c r="E113" s="9" t="n"/>
      <c r="F113" s="41"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row>
    <row r="114">
      <c r="A114" s="6" t="n"/>
      <c r="B114" s="6" t="n"/>
      <c r="C114" s="6" t="n"/>
      <c r="D114" s="6" t="n"/>
      <c r="E114" s="9" t="n"/>
      <c r="F114" s="41"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row>
    <row r="115">
      <c r="A115" s="6" t="n"/>
      <c r="B115" s="6" t="n"/>
      <c r="C115" s="6" t="n"/>
      <c r="D115" s="6" t="n"/>
      <c r="E115" s="9" t="n"/>
      <c r="F115" s="41"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row>
    <row r="116">
      <c r="A116" s="6" t="n"/>
      <c r="B116" s="6" t="n"/>
      <c r="C116" s="6" t="n"/>
      <c r="D116" s="6" t="n"/>
      <c r="E116" s="9" t="n"/>
      <c r="F116" s="41"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row>
    <row r="117">
      <c r="A117" s="6" t="n"/>
      <c r="B117" s="6" t="n"/>
      <c r="C117" s="6" t="n"/>
      <c r="D117" s="6" t="n"/>
      <c r="E117" s="9" t="n"/>
      <c r="F117" s="41"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row>
    <row r="118">
      <c r="A118" s="6" t="n"/>
      <c r="B118" s="6" t="n"/>
      <c r="C118" s="6" t="n"/>
      <c r="D118" s="6" t="n"/>
      <c r="E118" s="9" t="n"/>
      <c r="F118" s="41"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row>
    <row r="119">
      <c r="A119" s="6" t="n"/>
      <c r="B119" s="6" t="n"/>
      <c r="C119" s="6" t="n"/>
      <c r="D119" s="6" t="n"/>
      <c r="E119" s="9" t="n"/>
      <c r="F119" s="41"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row>
    <row r="120">
      <c r="A120" s="6" t="n"/>
      <c r="B120" s="6" t="n"/>
      <c r="C120" s="6" t="n"/>
      <c r="D120" s="6" t="n"/>
      <c r="E120" s="9" t="n"/>
      <c r="F120" s="41"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row>
    <row r="121">
      <c r="A121" s="6" t="n"/>
      <c r="B121" s="6" t="n"/>
      <c r="C121" s="6" t="n"/>
      <c r="D121" s="6" t="n"/>
      <c r="E121" s="9" t="n"/>
      <c r="F121" s="41"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row>
    <row r="122">
      <c r="A122" s="6" t="n"/>
      <c r="B122" s="6" t="n"/>
      <c r="C122" s="6" t="n"/>
      <c r="D122" s="6" t="n"/>
      <c r="E122" s="9" t="n"/>
      <c r="F122" s="41"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row>
    <row r="123">
      <c r="A123" s="6" t="n"/>
      <c r="B123" s="6" t="n"/>
      <c r="C123" s="6" t="n"/>
      <c r="D123" s="6" t="n"/>
      <c r="E123" s="9" t="n"/>
      <c r="F123" s="41"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row>
    <row r="124">
      <c r="A124" s="6" t="n"/>
      <c r="B124" s="6" t="n"/>
      <c r="C124" s="6" t="n"/>
      <c r="D124" s="6" t="n"/>
      <c r="E124" s="9" t="n"/>
      <c r="F124" s="41"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row>
    <row r="125">
      <c r="A125" s="6" t="n"/>
      <c r="B125" s="6" t="n"/>
      <c r="C125" s="6" t="n"/>
      <c r="D125" s="6" t="n"/>
      <c r="E125" s="9" t="n"/>
      <c r="F125" s="41"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row>
    <row r="126">
      <c r="A126" s="6" t="n"/>
      <c r="B126" s="6" t="n"/>
      <c r="C126" s="6" t="n"/>
      <c r="D126" s="6" t="n"/>
      <c r="E126" s="9" t="n"/>
      <c r="F126" s="41"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row>
    <row r="127">
      <c r="A127" s="6" t="n"/>
      <c r="B127" s="6" t="n"/>
      <c r="C127" s="6" t="n"/>
      <c r="D127" s="6" t="n"/>
      <c r="E127" s="9" t="n"/>
      <c r="F127" s="41"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row>
    <row r="128">
      <c r="A128" s="6" t="n"/>
      <c r="B128" s="6" t="n"/>
      <c r="C128" s="6" t="n"/>
      <c r="D128" s="6" t="n"/>
      <c r="E128" s="9" t="n"/>
      <c r="F128" s="41"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row>
    <row r="129">
      <c r="A129" s="6" t="n"/>
      <c r="B129" s="6" t="n"/>
      <c r="C129" s="6" t="n"/>
      <c r="D129" s="6" t="n"/>
      <c r="E129" s="9" t="n"/>
      <c r="F129" s="41"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row>
    <row r="130">
      <c r="A130" s="6" t="n"/>
      <c r="B130" s="6" t="n"/>
      <c r="C130" s="6" t="n"/>
      <c r="D130" s="6" t="n"/>
      <c r="E130" s="9" t="n"/>
      <c r="F130" s="41"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row>
    <row r="131">
      <c r="A131" s="6" t="n"/>
      <c r="B131" s="6" t="n"/>
      <c r="C131" s="6" t="n"/>
      <c r="D131" s="6" t="n"/>
      <c r="E131" s="9" t="n"/>
      <c r="F131" s="41"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row>
    <row r="132">
      <c r="A132" s="6" t="n"/>
      <c r="B132" s="6" t="n"/>
      <c r="C132" s="6" t="n"/>
      <c r="D132" s="6" t="n"/>
      <c r="E132" s="9" t="n"/>
      <c r="F132" s="41"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row>
    <row r="133">
      <c r="A133" s="6" t="n"/>
      <c r="B133" s="6" t="n"/>
      <c r="C133" s="6" t="n"/>
      <c r="D133" s="6" t="n"/>
      <c r="E133" s="9" t="n"/>
      <c r="F133" s="41"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row>
    <row r="134">
      <c r="A134" s="6" t="n"/>
      <c r="B134" s="6" t="n"/>
      <c r="C134" s="6" t="n"/>
      <c r="D134" s="6" t="n"/>
      <c r="E134" s="9" t="n"/>
      <c r="F134" s="41"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row>
    <row r="135">
      <c r="A135" s="6" t="n"/>
      <c r="B135" s="6" t="n"/>
      <c r="C135" s="6" t="n"/>
      <c r="D135" s="6" t="n"/>
      <c r="E135" s="9" t="n"/>
      <c r="F135" s="41"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row>
    <row r="136">
      <c r="A136" s="6" t="n"/>
      <c r="B136" s="6" t="n"/>
      <c r="C136" s="6" t="n"/>
      <c r="D136" s="6" t="n"/>
      <c r="E136" s="9" t="n"/>
      <c r="F136" s="41"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row>
    <row r="137">
      <c r="A137" s="6" t="n"/>
      <c r="B137" s="6" t="n"/>
      <c r="C137" s="6" t="n"/>
      <c r="D137" s="6" t="n"/>
      <c r="E137" s="9" t="n"/>
      <c r="F137" s="41"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row>
    <row r="138">
      <c r="A138" s="6" t="n"/>
      <c r="B138" s="6" t="n"/>
      <c r="C138" s="6" t="n"/>
      <c r="D138" s="6" t="n"/>
      <c r="E138" s="9" t="n"/>
      <c r="F138" s="41"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row>
    <row r="139">
      <c r="A139" s="6" t="n"/>
      <c r="B139" s="6" t="n"/>
      <c r="C139" s="6" t="n"/>
      <c r="D139" s="6" t="n"/>
      <c r="E139" s="9" t="n"/>
      <c r="F139" s="41"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row>
    <row r="140">
      <c r="A140" s="6" t="n"/>
      <c r="B140" s="6" t="n"/>
      <c r="C140" s="6" t="n"/>
      <c r="D140" s="6" t="n"/>
      <c r="E140" s="9" t="n"/>
      <c r="F140" s="41"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row>
    <row r="141">
      <c r="A141" s="6" t="n"/>
      <c r="B141" s="6" t="n"/>
      <c r="C141" s="6" t="n"/>
      <c r="D141" s="6" t="n"/>
      <c r="E141" s="9" t="n"/>
      <c r="F141" s="41"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row>
    <row r="142">
      <c r="A142" s="6" t="n"/>
      <c r="B142" s="6" t="n"/>
      <c r="C142" s="6" t="n"/>
      <c r="D142" s="6" t="n"/>
      <c r="E142" s="9" t="n"/>
      <c r="F142" s="41"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row>
    <row r="143">
      <c r="A143" s="6" t="n"/>
      <c r="B143" s="6" t="n"/>
      <c r="C143" s="6" t="n"/>
      <c r="D143" s="6" t="n"/>
      <c r="E143" s="9" t="n"/>
      <c r="F143" s="41"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row>
    <row r="144">
      <c r="A144" s="6" t="n"/>
      <c r="B144" s="6" t="n"/>
      <c r="C144" s="6" t="n"/>
      <c r="D144" s="6" t="n"/>
      <c r="E144" s="9" t="n"/>
      <c r="F144" s="41"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row>
    <row r="145">
      <c r="A145" s="6" t="n"/>
      <c r="B145" s="6" t="n"/>
      <c r="C145" s="6" t="n"/>
      <c r="D145" s="6" t="n"/>
      <c r="E145" s="9" t="n"/>
      <c r="F145" s="41"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row>
    <row r="146">
      <c r="A146" s="6" t="n"/>
      <c r="B146" s="6" t="n"/>
      <c r="C146" s="6" t="n"/>
      <c r="D146" s="6" t="n"/>
      <c r="E146" s="9" t="n"/>
      <c r="F146" s="41"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row>
    <row r="147">
      <c r="A147" s="6" t="n"/>
      <c r="B147" s="6" t="n"/>
      <c r="C147" s="6" t="n"/>
      <c r="D147" s="6" t="n"/>
      <c r="E147" s="9" t="n"/>
      <c r="F147" s="41"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row>
    <row r="148">
      <c r="A148" s="6" t="n"/>
      <c r="B148" s="6" t="n"/>
      <c r="C148" s="6" t="n"/>
      <c r="D148" s="6" t="n"/>
      <c r="E148" s="9" t="n"/>
      <c r="F148" s="41"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row>
    <row r="149">
      <c r="A149" s="6" t="n"/>
      <c r="B149" s="6" t="n"/>
      <c r="C149" s="6" t="n"/>
      <c r="D149" s="6" t="n"/>
      <c r="E149" s="9" t="n"/>
      <c r="F149" s="41"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row>
    <row r="150">
      <c r="A150" s="6" t="n"/>
      <c r="B150" s="6" t="n"/>
      <c r="C150" s="6" t="n"/>
      <c r="D150" s="6" t="n"/>
      <c r="E150" s="9" t="n"/>
      <c r="F150" s="41"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row>
    <row r="151">
      <c r="A151" s="6" t="n"/>
      <c r="B151" s="6" t="n"/>
      <c r="C151" s="6" t="n"/>
      <c r="D151" s="6" t="n"/>
      <c r="E151" s="9" t="n"/>
      <c r="F151" s="41"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row>
    <row r="152">
      <c r="A152" s="6" t="n"/>
      <c r="B152" s="6" t="n"/>
      <c r="C152" s="6" t="n"/>
      <c r="D152" s="6" t="n"/>
      <c r="E152" s="9" t="n"/>
      <c r="F152" s="41"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row>
    <row r="153">
      <c r="A153" s="6" t="n"/>
      <c r="B153" s="6" t="n"/>
      <c r="C153" s="6" t="n"/>
      <c r="D153" s="6" t="n"/>
      <c r="E153" s="9" t="n"/>
      <c r="F153" s="41"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row>
    <row r="154">
      <c r="A154" s="6" t="n"/>
      <c r="B154" s="6" t="n"/>
      <c r="C154" s="6" t="n"/>
      <c r="D154" s="6" t="n"/>
      <c r="E154" s="9" t="n"/>
      <c r="F154" s="41"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row>
    <row r="155">
      <c r="A155" s="6" t="n"/>
      <c r="B155" s="6" t="n"/>
      <c r="C155" s="6" t="n"/>
      <c r="D155" s="6" t="n"/>
      <c r="E155" s="9" t="n"/>
      <c r="F155" s="41"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row>
    <row r="156">
      <c r="A156" s="6" t="n"/>
      <c r="B156" s="6" t="n"/>
      <c r="C156" s="6" t="n"/>
      <c r="D156" s="6" t="n"/>
      <c r="E156" s="9" t="n"/>
      <c r="F156" s="41"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row>
    <row r="157">
      <c r="A157" s="6" t="n"/>
      <c r="B157" s="6" t="n"/>
      <c r="C157" s="6" t="n"/>
      <c r="D157" s="6" t="n"/>
      <c r="E157" s="9" t="n"/>
      <c r="F157" s="41"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row>
    <row r="158">
      <c r="A158" s="6" t="n"/>
      <c r="B158" s="6" t="n"/>
      <c r="C158" s="6" t="n"/>
      <c r="D158" s="6" t="n"/>
      <c r="E158" s="9" t="n"/>
      <c r="F158" s="41"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row>
    <row r="159">
      <c r="A159" s="6" t="n"/>
      <c r="B159" s="6" t="n"/>
      <c r="C159" s="6" t="n"/>
      <c r="D159" s="6" t="n"/>
      <c r="E159" s="9" t="n"/>
      <c r="F159" s="41"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row>
    <row r="160">
      <c r="A160" s="6" t="n"/>
      <c r="B160" s="6" t="n"/>
      <c r="C160" s="6" t="n"/>
      <c r="D160" s="6" t="n"/>
      <c r="E160" s="9" t="n"/>
      <c r="F160" s="41"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row>
    <row r="161">
      <c r="A161" s="6" t="n"/>
      <c r="B161" s="6" t="n"/>
      <c r="C161" s="6" t="n"/>
      <c r="D161" s="6" t="n"/>
      <c r="E161" s="9" t="n"/>
      <c r="F161" s="41"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row>
    <row r="162">
      <c r="A162" s="6" t="n"/>
      <c r="B162" s="6" t="n"/>
      <c r="C162" s="6" t="n"/>
      <c r="D162" s="6" t="n"/>
      <c r="E162" s="9" t="n"/>
      <c r="F162" s="41"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row>
    <row r="163">
      <c r="A163" s="6" t="n"/>
      <c r="B163" s="6" t="n"/>
      <c r="C163" s="6" t="n"/>
      <c r="D163" s="6" t="n"/>
      <c r="E163" s="9" t="n"/>
      <c r="F163" s="41"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row>
    <row r="164">
      <c r="A164" s="6" t="n"/>
      <c r="B164" s="6" t="n"/>
      <c r="C164" s="6" t="n"/>
      <c r="D164" s="6" t="n"/>
      <c r="E164" s="9" t="n"/>
      <c r="F164" s="41"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row>
    <row r="165">
      <c r="A165" s="6" t="n"/>
      <c r="B165" s="6" t="n"/>
      <c r="C165" s="6" t="n"/>
      <c r="D165" s="6" t="n"/>
      <c r="E165" s="9" t="n"/>
      <c r="F165" s="41"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row>
    <row r="166">
      <c r="A166" s="6" t="n"/>
      <c r="B166" s="6" t="n"/>
      <c r="C166" s="6" t="n"/>
      <c r="D166" s="6" t="n"/>
      <c r="E166" s="9" t="n"/>
      <c r="F166" s="41"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row>
    <row r="167">
      <c r="A167" s="6" t="n"/>
      <c r="B167" s="6" t="n"/>
      <c r="C167" s="6" t="n"/>
      <c r="D167" s="6" t="n"/>
      <c r="E167" s="9" t="n"/>
      <c r="F167" s="41"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row>
    <row r="168">
      <c r="A168" s="6" t="n"/>
      <c r="B168" s="6" t="n"/>
      <c r="C168" s="6" t="n"/>
      <c r="D168" s="6" t="n"/>
      <c r="E168" s="9" t="n"/>
      <c r="F168" s="41"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row>
    <row r="169">
      <c r="A169" s="6" t="n"/>
      <c r="B169" s="6" t="n"/>
      <c r="C169" s="6" t="n"/>
      <c r="D169" s="6" t="n"/>
      <c r="E169" s="9" t="n"/>
      <c r="F169" s="41"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row>
    <row r="170">
      <c r="A170" s="6" t="n"/>
      <c r="B170" s="6" t="n"/>
      <c r="C170" s="6" t="n"/>
      <c r="D170" s="6" t="n"/>
      <c r="E170" s="9" t="n"/>
      <c r="F170" s="41"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row>
    <row r="171">
      <c r="A171" s="6" t="n"/>
      <c r="B171" s="6" t="n"/>
      <c r="C171" s="6" t="n"/>
      <c r="D171" s="6" t="n"/>
      <c r="E171" s="9" t="n"/>
      <c r="F171" s="41"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row>
    <row r="172">
      <c r="A172" s="6" t="n"/>
      <c r="B172" s="6" t="n"/>
      <c r="C172" s="6" t="n"/>
      <c r="D172" s="6" t="n"/>
      <c r="E172" s="9" t="n"/>
      <c r="F172" s="41"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row>
    <row r="173">
      <c r="A173" s="6" t="n"/>
      <c r="B173" s="6" t="n"/>
      <c r="C173" s="6" t="n"/>
      <c r="D173" s="6" t="n"/>
      <c r="E173" s="9" t="n"/>
      <c r="F173" s="41"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row>
    <row r="174">
      <c r="A174" s="6" t="n"/>
      <c r="B174" s="6" t="n"/>
      <c r="C174" s="6" t="n"/>
      <c r="D174" s="6" t="n"/>
      <c r="E174" s="9" t="n"/>
      <c r="F174" s="41"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row>
    <row r="175">
      <c r="A175" s="6" t="n"/>
      <c r="B175" s="6" t="n"/>
      <c r="C175" s="6" t="n"/>
      <c r="D175" s="6" t="n"/>
      <c r="E175" s="9" t="n"/>
      <c r="F175" s="41"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row>
    <row r="176">
      <c r="A176" s="6" t="n"/>
      <c r="B176" s="6" t="n"/>
      <c r="C176" s="6" t="n"/>
      <c r="D176" s="6" t="n"/>
      <c r="E176" s="9" t="n"/>
      <c r="F176" s="41"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row>
    <row r="177">
      <c r="A177" s="6" t="n"/>
      <c r="B177" s="6" t="n"/>
      <c r="C177" s="6" t="n"/>
      <c r="D177" s="6" t="n"/>
      <c r="E177" s="9" t="n"/>
      <c r="F177" s="41"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row>
    <row r="178">
      <c r="A178" s="6" t="n"/>
      <c r="B178" s="6" t="n"/>
      <c r="C178" s="6" t="n"/>
      <c r="D178" s="6" t="n"/>
      <c r="E178" s="9" t="n"/>
      <c r="F178" s="41"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row>
    <row r="179">
      <c r="A179" s="6" t="n"/>
      <c r="B179" s="6" t="n"/>
      <c r="C179" s="6" t="n"/>
      <c r="D179" s="6" t="n"/>
      <c r="E179" s="9" t="n"/>
      <c r="F179" s="41"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row>
    <row r="180">
      <c r="A180" s="6" t="n"/>
      <c r="B180" s="6" t="n"/>
      <c r="C180" s="6" t="n"/>
      <c r="D180" s="6" t="n"/>
      <c r="E180" s="9" t="n"/>
      <c r="F180" s="41"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row>
    <row r="181">
      <c r="A181" s="6" t="n"/>
      <c r="B181" s="6" t="n"/>
      <c r="C181" s="6" t="n"/>
      <c r="D181" s="6" t="n"/>
      <c r="E181" s="9" t="n"/>
      <c r="F181" s="41"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row>
    <row r="182">
      <c r="A182" s="6" t="n"/>
      <c r="B182" s="6" t="n"/>
      <c r="C182" s="6" t="n"/>
      <c r="D182" s="6" t="n"/>
      <c r="E182" s="9" t="n"/>
      <c r="F182" s="41"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row>
    <row r="183">
      <c r="A183" s="6" t="n"/>
      <c r="B183" s="6" t="n"/>
      <c r="C183" s="6" t="n"/>
      <c r="D183" s="6" t="n"/>
      <c r="E183" s="9" t="n"/>
      <c r="F183" s="41"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row>
    <row r="184">
      <c r="A184" s="6" t="n"/>
      <c r="B184" s="6" t="n"/>
      <c r="C184" s="6" t="n"/>
      <c r="D184" s="6" t="n"/>
      <c r="E184" s="9" t="n"/>
      <c r="F184" s="41"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row>
    <row r="185">
      <c r="A185" s="6" t="n"/>
      <c r="B185" s="6" t="n"/>
      <c r="C185" s="6" t="n"/>
      <c r="D185" s="6" t="n"/>
      <c r="E185" s="9" t="n"/>
      <c r="F185" s="41"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row>
    <row r="186">
      <c r="A186" s="6" t="n"/>
      <c r="B186" s="6" t="n"/>
      <c r="C186" s="6" t="n"/>
      <c r="D186" s="6" t="n"/>
      <c r="E186" s="9" t="n"/>
      <c r="F186" s="41"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row>
    <row r="187">
      <c r="A187" s="6" t="n"/>
      <c r="B187" s="6" t="n"/>
      <c r="C187" s="6" t="n"/>
      <c r="D187" s="6" t="n"/>
      <c r="E187" s="9" t="n"/>
      <c r="F187" s="41"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row>
    <row r="188">
      <c r="A188" s="6" t="n"/>
      <c r="B188" s="6" t="n"/>
      <c r="C188" s="6" t="n"/>
      <c r="D188" s="6" t="n"/>
      <c r="E188" s="9" t="n"/>
      <c r="F188" s="41"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row>
    <row r="189">
      <c r="A189" s="6" t="n"/>
      <c r="B189" s="6" t="n"/>
      <c r="C189" s="6" t="n"/>
      <c r="D189" s="6" t="n"/>
      <c r="E189" s="9" t="n"/>
      <c r="F189" s="41"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row>
    <row r="190">
      <c r="A190" s="6" t="n"/>
      <c r="B190" s="6" t="n"/>
      <c r="C190" s="6" t="n"/>
      <c r="D190" s="6" t="n"/>
      <c r="E190" s="9" t="n"/>
      <c r="F190" s="41"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row>
    <row r="191">
      <c r="A191" s="6" t="n"/>
      <c r="B191" s="6" t="n"/>
      <c r="C191" s="6" t="n"/>
      <c r="D191" s="6" t="n"/>
      <c r="E191" s="9" t="n"/>
      <c r="F191" s="41"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row>
    <row r="192">
      <c r="A192" s="6" t="n"/>
      <c r="B192" s="6" t="n"/>
      <c r="C192" s="6" t="n"/>
      <c r="D192" s="6" t="n"/>
      <c r="E192" s="9" t="n"/>
      <c r="F192" s="41"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row>
    <row r="193">
      <c r="A193" s="6" t="n"/>
      <c r="B193" s="6" t="n"/>
      <c r="C193" s="6" t="n"/>
      <c r="D193" s="6" t="n"/>
      <c r="E193" s="9" t="n"/>
      <c r="F193" s="41"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row>
    <row r="194">
      <c r="A194" s="6" t="n"/>
      <c r="B194" s="6" t="n"/>
      <c r="C194" s="6" t="n"/>
      <c r="D194" s="6" t="n"/>
      <c r="E194" s="9" t="n"/>
      <c r="F194" s="41"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row>
    <row r="195">
      <c r="A195" s="6" t="n"/>
      <c r="B195" s="6" t="n"/>
      <c r="C195" s="6" t="n"/>
      <c r="D195" s="6" t="n"/>
      <c r="E195" s="9" t="n"/>
      <c r="F195" s="41"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row>
    <row r="196">
      <c r="A196" s="6" t="n"/>
      <c r="B196" s="6" t="n"/>
      <c r="C196" s="6" t="n"/>
      <c r="D196" s="6" t="n"/>
      <c r="E196" s="9" t="n"/>
      <c r="F196" s="41"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row>
    <row r="197">
      <c r="A197" s="6" t="n"/>
      <c r="B197" s="6" t="n"/>
      <c r="C197" s="6" t="n"/>
      <c r="D197" s="6" t="n"/>
      <c r="E197" s="9" t="n"/>
      <c r="F197" s="41"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row>
    <row r="198">
      <c r="A198" s="6" t="n"/>
      <c r="B198" s="6" t="n"/>
      <c r="C198" s="6" t="n"/>
      <c r="D198" s="6" t="n"/>
      <c r="E198" s="9" t="n"/>
      <c r="F198" s="41"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row>
    <row r="199">
      <c r="A199" s="6" t="n"/>
      <c r="B199" s="6" t="n"/>
      <c r="C199" s="6" t="n"/>
      <c r="D199" s="6" t="n"/>
      <c r="E199" s="9" t="n"/>
      <c r="F199" s="41"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row>
    <row r="200">
      <c r="A200" s="6" t="n"/>
      <c r="B200" s="6" t="n"/>
      <c r="C200" s="6" t="n"/>
      <c r="D200" s="6" t="n"/>
      <c r="E200" s="9" t="n"/>
      <c r="F200" s="41"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row>
    <row r="201">
      <c r="A201" s="6" t="n"/>
      <c r="B201" s="6" t="n"/>
      <c r="C201" s="6" t="n"/>
      <c r="D201" s="6" t="n"/>
      <c r="E201" s="9" t="n"/>
      <c r="F201" s="41"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row>
    <row r="202">
      <c r="A202" s="6" t="n"/>
      <c r="B202" s="6" t="n"/>
      <c r="C202" s="6" t="n"/>
      <c r="D202" s="6" t="n"/>
      <c r="E202" s="9" t="n"/>
      <c r="F202" s="41"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row>
    <row r="203">
      <c r="A203" s="6" t="n"/>
      <c r="B203" s="6" t="n"/>
      <c r="C203" s="6" t="n"/>
      <c r="D203" s="6" t="n"/>
      <c r="E203" s="9" t="n"/>
      <c r="F203" s="41"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row>
    <row r="204">
      <c r="A204" s="6" t="n"/>
      <c r="B204" s="6" t="n"/>
      <c r="C204" s="6" t="n"/>
      <c r="D204" s="6" t="n"/>
      <c r="E204" s="9" t="n"/>
      <c r="F204" s="41"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row>
    <row r="205">
      <c r="A205" s="6" t="n"/>
      <c r="B205" s="6" t="n"/>
      <c r="C205" s="6" t="n"/>
      <c r="D205" s="6" t="n"/>
      <c r="E205" s="9" t="n"/>
      <c r="F205" s="41"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row>
    <row r="206">
      <c r="A206" s="6" t="n"/>
      <c r="B206" s="6" t="n"/>
      <c r="C206" s="6" t="n"/>
      <c r="D206" s="6" t="n"/>
      <c r="E206" s="9" t="n"/>
      <c r="F206" s="41"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row>
    <row r="207">
      <c r="A207" s="6" t="n"/>
      <c r="B207" s="6" t="n"/>
      <c r="C207" s="6" t="n"/>
      <c r="D207" s="6" t="n"/>
      <c r="E207" s="9" t="n"/>
      <c r="F207" s="41"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row>
    <row r="208">
      <c r="A208" s="6" t="n"/>
      <c r="B208" s="6" t="n"/>
      <c r="C208" s="6" t="n"/>
      <c r="D208" s="6" t="n"/>
      <c r="E208" s="9" t="n"/>
      <c r="F208" s="41"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row>
    <row r="209">
      <c r="A209" s="6" t="n"/>
      <c r="B209" s="6" t="n"/>
      <c r="C209" s="6" t="n"/>
      <c r="D209" s="6" t="n"/>
      <c r="E209" s="9" t="n"/>
      <c r="F209" s="41"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row>
    <row r="210">
      <c r="A210" s="6" t="n"/>
      <c r="B210" s="6" t="n"/>
      <c r="C210" s="6" t="n"/>
      <c r="D210" s="6" t="n"/>
      <c r="E210" s="9" t="n"/>
      <c r="F210" s="41"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row>
    <row r="211">
      <c r="A211" s="6" t="n"/>
      <c r="B211" s="6" t="n"/>
      <c r="C211" s="6" t="n"/>
      <c r="D211" s="6" t="n"/>
      <c r="E211" s="9" t="n"/>
      <c r="F211" s="41"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row>
    <row r="212">
      <c r="A212" s="6" t="n"/>
      <c r="B212" s="6" t="n"/>
      <c r="C212" s="6" t="n"/>
      <c r="D212" s="6" t="n"/>
      <c r="E212" s="9" t="n"/>
      <c r="F212" s="41"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row>
    <row r="213">
      <c r="A213" s="6" t="n"/>
      <c r="B213" s="6" t="n"/>
      <c r="C213" s="6" t="n"/>
      <c r="D213" s="6" t="n"/>
      <c r="E213" s="9" t="n"/>
      <c r="F213" s="41"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row>
    <row r="214">
      <c r="A214" s="6" t="n"/>
      <c r="B214" s="6" t="n"/>
      <c r="C214" s="6" t="n"/>
      <c r="D214" s="6" t="n"/>
      <c r="E214" s="9" t="n"/>
      <c r="F214" s="41"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row>
    <row r="215">
      <c r="A215" s="6" t="n"/>
      <c r="B215" s="6" t="n"/>
      <c r="C215" s="6" t="n"/>
      <c r="D215" s="6" t="n"/>
      <c r="E215" s="9" t="n"/>
      <c r="F215" s="41"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row>
    <row r="216">
      <c r="A216" s="6" t="n"/>
      <c r="B216" s="6" t="n"/>
      <c r="C216" s="6" t="n"/>
      <c r="D216" s="6" t="n"/>
      <c r="E216" s="9" t="n"/>
      <c r="F216" s="41"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row>
    <row r="217">
      <c r="A217" s="6" t="n"/>
      <c r="B217" s="6" t="n"/>
      <c r="C217" s="6" t="n"/>
      <c r="D217" s="6" t="n"/>
      <c r="E217" s="9" t="n"/>
      <c r="F217" s="41"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row>
    <row r="218">
      <c r="A218" s="6" t="n"/>
      <c r="B218" s="6" t="n"/>
      <c r="C218" s="6" t="n"/>
      <c r="D218" s="6" t="n"/>
      <c r="E218" s="9" t="n"/>
      <c r="F218" s="41"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row>
    <row r="219">
      <c r="A219" s="6" t="n"/>
      <c r="B219" s="6" t="n"/>
      <c r="C219" s="6" t="n"/>
      <c r="D219" s="6" t="n"/>
      <c r="E219" s="9" t="n"/>
      <c r="F219" s="41"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row>
    <row r="220">
      <c r="A220" s="6" t="n"/>
      <c r="B220" s="6" t="n"/>
      <c r="C220" s="6" t="n"/>
      <c r="D220" s="6" t="n"/>
      <c r="E220" s="9" t="n"/>
      <c r="F220" s="41"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row>
    <row r="221">
      <c r="A221" s="6" t="n"/>
      <c r="B221" s="6" t="n"/>
      <c r="C221" s="6" t="n"/>
      <c r="D221" s="6" t="n"/>
      <c r="E221" s="9" t="n"/>
      <c r="F221" s="41"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row>
    <row r="222">
      <c r="A222" s="6" t="n"/>
      <c r="B222" s="6" t="n"/>
      <c r="C222" s="6" t="n"/>
      <c r="D222" s="6" t="n"/>
      <c r="E222" s="9" t="n"/>
      <c r="F222" s="41"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row>
    <row r="223">
      <c r="A223" s="6" t="n"/>
      <c r="B223" s="6" t="n"/>
      <c r="C223" s="6" t="n"/>
      <c r="D223" s="6" t="n"/>
      <c r="E223" s="9" t="n"/>
      <c r="F223" s="41"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row>
    <row r="224">
      <c r="A224" s="6" t="n"/>
      <c r="B224" s="6" t="n"/>
      <c r="C224" s="6" t="n"/>
      <c r="D224" s="6" t="n"/>
      <c r="E224" s="9" t="n"/>
      <c r="F224" s="41"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row>
    <row r="225">
      <c r="A225" s="6" t="n"/>
      <c r="B225" s="6" t="n"/>
      <c r="C225" s="6" t="n"/>
      <c r="D225" s="6" t="n"/>
      <c r="E225" s="9" t="n"/>
      <c r="F225" s="41"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row>
    <row r="226">
      <c r="A226" s="6" t="n"/>
      <c r="B226" s="6" t="n"/>
      <c r="C226" s="6" t="n"/>
      <c r="D226" s="6" t="n"/>
      <c r="E226" s="9" t="n"/>
      <c r="F226" s="41"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row>
    <row r="227">
      <c r="A227" s="6" t="n"/>
      <c r="B227" s="6" t="n"/>
      <c r="C227" s="6" t="n"/>
      <c r="D227" s="6" t="n"/>
      <c r="E227" s="9" t="n"/>
      <c r="F227" s="41"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row>
    <row r="228">
      <c r="A228" s="6" t="n"/>
      <c r="B228" s="6" t="n"/>
      <c r="C228" s="6" t="n"/>
      <c r="D228" s="6" t="n"/>
      <c r="E228" s="9" t="n"/>
      <c r="F228" s="41"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row>
    <row r="229">
      <c r="A229" s="6" t="n"/>
      <c r="B229" s="6" t="n"/>
      <c r="C229" s="6" t="n"/>
      <c r="D229" s="6" t="n"/>
      <c r="E229" s="9" t="n"/>
      <c r="F229" s="41"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row>
    <row r="230">
      <c r="A230" s="6" t="n"/>
      <c r="B230" s="6" t="n"/>
      <c r="C230" s="6" t="n"/>
      <c r="D230" s="6" t="n"/>
      <c r="E230" s="9" t="n"/>
      <c r="F230" s="41"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row>
    <row r="231">
      <c r="A231" s="6" t="n"/>
      <c r="B231" s="6" t="n"/>
      <c r="C231" s="6" t="n"/>
      <c r="D231" s="6" t="n"/>
      <c r="E231" s="9" t="n"/>
      <c r="F231" s="41"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row>
    <row r="232">
      <c r="A232" s="6" t="n"/>
      <c r="B232" s="6" t="n"/>
      <c r="C232" s="6" t="n"/>
      <c r="D232" s="6" t="n"/>
      <c r="E232" s="9" t="n"/>
      <c r="F232" s="41"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row>
    <row r="233">
      <c r="A233" s="6" t="n"/>
      <c r="B233" s="6" t="n"/>
      <c r="C233" s="6" t="n"/>
      <c r="D233" s="6" t="n"/>
      <c r="E233" s="9" t="n"/>
      <c r="F233" s="41"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row>
    <row r="234">
      <c r="A234" s="6" t="n"/>
      <c r="B234" s="6" t="n"/>
      <c r="C234" s="6" t="n"/>
      <c r="D234" s="6" t="n"/>
      <c r="E234" s="9" t="n"/>
      <c r="F234" s="41"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row>
    <row r="235">
      <c r="A235" s="6" t="n"/>
      <c r="B235" s="6" t="n"/>
      <c r="C235" s="6" t="n"/>
      <c r="D235" s="6" t="n"/>
      <c r="E235" s="9" t="n"/>
      <c r="F235" s="41"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row>
    <row r="236">
      <c r="A236" s="6" t="n"/>
      <c r="B236" s="6" t="n"/>
      <c r="C236" s="6" t="n"/>
      <c r="D236" s="6" t="n"/>
      <c r="E236" s="9" t="n"/>
      <c r="F236" s="41"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row>
    <row r="237">
      <c r="A237" s="6" t="n"/>
      <c r="B237" s="6" t="n"/>
      <c r="C237" s="6" t="n"/>
      <c r="D237" s="6" t="n"/>
      <c r="E237" s="9" t="n"/>
      <c r="F237" s="41"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row>
    <row r="238">
      <c r="A238" s="6" t="n"/>
      <c r="B238" s="6" t="n"/>
      <c r="C238" s="6" t="n"/>
      <c r="D238" s="6" t="n"/>
      <c r="E238" s="9" t="n"/>
      <c r="F238" s="41"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row>
    <row r="239">
      <c r="A239" s="6" t="n"/>
      <c r="B239" s="6" t="n"/>
      <c r="C239" s="6" t="n"/>
      <c r="D239" s="6" t="n"/>
      <c r="E239" s="9" t="n"/>
      <c r="F239" s="41"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row>
    <row r="240">
      <c r="A240" s="6" t="n"/>
      <c r="B240" s="6" t="n"/>
      <c r="C240" s="6" t="n"/>
      <c r="D240" s="6" t="n"/>
      <c r="E240" s="9" t="n"/>
      <c r="F240" s="41"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row>
    <row r="241">
      <c r="A241" s="6" t="n"/>
      <c r="B241" s="6" t="n"/>
      <c r="C241" s="6" t="n"/>
      <c r="D241" s="6" t="n"/>
      <c r="E241" s="9" t="n"/>
      <c r="F241" s="41"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row>
    <row r="242">
      <c r="A242" s="6" t="n"/>
      <c r="B242" s="6" t="n"/>
      <c r="C242" s="6" t="n"/>
      <c r="D242" s="6" t="n"/>
      <c r="E242" s="9" t="n"/>
      <c r="F242" s="41"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row>
    <row r="243">
      <c r="A243" s="6" t="n"/>
      <c r="B243" s="6" t="n"/>
      <c r="C243" s="6" t="n"/>
      <c r="D243" s="6" t="n"/>
      <c r="E243" s="9" t="n"/>
      <c r="F243" s="41"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row>
    <row r="244">
      <c r="A244" s="6" t="n"/>
      <c r="B244" s="6" t="n"/>
      <c r="C244" s="6" t="n"/>
      <c r="D244" s="6" t="n"/>
      <c r="E244" s="9" t="n"/>
      <c r="F244" s="41"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row>
    <row r="245">
      <c r="A245" s="6" t="n"/>
      <c r="B245" s="6" t="n"/>
      <c r="C245" s="6" t="n"/>
      <c r="D245" s="6" t="n"/>
      <c r="E245" s="9" t="n"/>
      <c r="F245" s="41"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row>
    <row r="246">
      <c r="A246" s="6" t="n"/>
      <c r="B246" s="6" t="n"/>
      <c r="C246" s="6" t="n"/>
      <c r="D246" s="6" t="n"/>
      <c r="E246" s="9" t="n"/>
      <c r="F246" s="41"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row>
    <row r="247">
      <c r="A247" s="6" t="n"/>
      <c r="B247" s="6" t="n"/>
      <c r="C247" s="6" t="n"/>
      <c r="D247" s="6" t="n"/>
      <c r="E247" s="9" t="n"/>
      <c r="F247" s="41"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row>
    <row r="248">
      <c r="A248" s="6" t="n"/>
      <c r="B248" s="6" t="n"/>
      <c r="C248" s="6" t="n"/>
      <c r="D248" s="6" t="n"/>
      <c r="E248" s="9" t="n"/>
      <c r="F248" s="41"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row>
    <row r="249">
      <c r="A249" s="6" t="n"/>
      <c r="B249" s="6" t="n"/>
      <c r="C249" s="6" t="n"/>
      <c r="D249" s="6" t="n"/>
      <c r="E249" s="9" t="n"/>
      <c r="F249" s="41"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row>
    <row r="250">
      <c r="A250" s="6" t="n"/>
      <c r="B250" s="6" t="n"/>
      <c r="C250" s="6" t="n"/>
      <c r="D250" s="6" t="n"/>
      <c r="E250" s="9" t="n"/>
      <c r="F250" s="41"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row>
    <row r="251">
      <c r="A251" s="6" t="n"/>
      <c r="B251" s="6" t="n"/>
      <c r="C251" s="6" t="n"/>
      <c r="D251" s="6" t="n"/>
      <c r="E251" s="9" t="n"/>
      <c r="F251" s="41"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row>
    <row r="252">
      <c r="A252" s="6" t="n"/>
      <c r="B252" s="6" t="n"/>
      <c r="C252" s="6" t="n"/>
      <c r="D252" s="6" t="n"/>
      <c r="E252" s="9" t="n"/>
      <c r="F252" s="41"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row>
    <row r="253">
      <c r="A253" s="6" t="n"/>
      <c r="B253" s="6" t="n"/>
      <c r="C253" s="6" t="n"/>
      <c r="D253" s="6" t="n"/>
      <c r="E253" s="9" t="n"/>
      <c r="F253" s="41"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row>
    <row r="254">
      <c r="A254" s="6" t="n"/>
      <c r="B254" s="6" t="n"/>
      <c r="C254" s="6" t="n"/>
      <c r="D254" s="6" t="n"/>
      <c r="E254" s="9" t="n"/>
      <c r="F254" s="41"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row>
    <row r="255">
      <c r="A255" s="6" t="n"/>
      <c r="B255" s="6" t="n"/>
      <c r="C255" s="6" t="n"/>
      <c r="D255" s="6" t="n"/>
      <c r="E255" s="9" t="n"/>
      <c r="F255" s="41"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row>
    <row r="256">
      <c r="A256" s="6" t="n"/>
      <c r="B256" s="6" t="n"/>
      <c r="C256" s="6" t="n"/>
      <c r="D256" s="6" t="n"/>
      <c r="E256" s="9" t="n"/>
      <c r="F256" s="41"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row>
    <row r="257">
      <c r="A257" s="6" t="n"/>
      <c r="B257" s="6" t="n"/>
      <c r="C257" s="6" t="n"/>
      <c r="D257" s="6" t="n"/>
      <c r="E257" s="9" t="n"/>
      <c r="F257" s="41"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row>
    <row r="258">
      <c r="A258" s="6" t="n"/>
      <c r="B258" s="6" t="n"/>
      <c r="C258" s="6" t="n"/>
      <c r="D258" s="6" t="n"/>
      <c r="E258" s="9" t="n"/>
      <c r="F258" s="41"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row>
    <row r="259">
      <c r="A259" s="6" t="n"/>
      <c r="B259" s="6" t="n"/>
      <c r="C259" s="6" t="n"/>
      <c r="D259" s="6" t="n"/>
      <c r="E259" s="9" t="n"/>
      <c r="F259" s="41"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row>
    <row r="260">
      <c r="A260" s="6" t="n"/>
      <c r="B260" s="6" t="n"/>
      <c r="C260" s="6" t="n"/>
      <c r="D260" s="6" t="n"/>
      <c r="E260" s="9" t="n"/>
      <c r="F260" s="41"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row>
    <row r="261">
      <c r="A261" s="6" t="n"/>
      <c r="B261" s="6" t="n"/>
      <c r="C261" s="6" t="n"/>
      <c r="D261" s="6" t="n"/>
      <c r="E261" s="9" t="n"/>
      <c r="F261" s="41"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row>
    <row r="262">
      <c r="A262" s="6" t="n"/>
      <c r="B262" s="6" t="n"/>
      <c r="C262" s="6" t="n"/>
      <c r="D262" s="6" t="n"/>
      <c r="E262" s="9" t="n"/>
      <c r="F262" s="41"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row>
    <row r="263">
      <c r="A263" s="6" t="n"/>
      <c r="B263" s="6" t="n"/>
      <c r="C263" s="6" t="n"/>
      <c r="D263" s="6" t="n"/>
      <c r="E263" s="9" t="n"/>
      <c r="F263" s="41"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row>
    <row r="264">
      <c r="A264" s="6" t="n"/>
      <c r="B264" s="6" t="n"/>
      <c r="C264" s="6" t="n"/>
      <c r="D264" s="6" t="n"/>
      <c r="E264" s="9" t="n"/>
      <c r="F264" s="41"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row>
    <row r="265">
      <c r="A265" s="6" t="n"/>
      <c r="B265" s="6" t="n"/>
      <c r="C265" s="6" t="n"/>
      <c r="D265" s="6" t="n"/>
      <c r="E265" s="9" t="n"/>
      <c r="F265" s="41"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row>
    <row r="266">
      <c r="A266" s="6" t="n"/>
      <c r="B266" s="6" t="n"/>
      <c r="C266" s="6" t="n"/>
      <c r="D266" s="6" t="n"/>
      <c r="E266" s="9" t="n"/>
      <c r="F266" s="41"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row>
    <row r="267">
      <c r="A267" s="6" t="n"/>
      <c r="B267" s="6" t="n"/>
      <c r="C267" s="6" t="n"/>
      <c r="D267" s="6" t="n"/>
      <c r="E267" s="9" t="n"/>
      <c r="F267" s="41"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row>
    <row r="268">
      <c r="A268" s="6" t="n"/>
      <c r="B268" s="6" t="n"/>
      <c r="C268" s="6" t="n"/>
      <c r="D268" s="6" t="n"/>
      <c r="E268" s="9" t="n"/>
      <c r="F268" s="41"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row>
    <row r="269">
      <c r="A269" s="6" t="n"/>
      <c r="B269" s="6" t="n"/>
      <c r="C269" s="6" t="n"/>
      <c r="D269" s="6" t="n"/>
      <c r="E269" s="9" t="n"/>
      <c r="F269" s="41"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row>
    <row r="270">
      <c r="A270" s="6" t="n"/>
      <c r="B270" s="6" t="n"/>
      <c r="C270" s="6" t="n"/>
      <c r="D270" s="6" t="n"/>
      <c r="E270" s="9" t="n"/>
      <c r="F270" s="41"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c r="AB270" s="6" t="n"/>
    </row>
    <row r="271">
      <c r="A271" s="6" t="n"/>
      <c r="B271" s="6" t="n"/>
      <c r="C271" s="6" t="n"/>
      <c r="D271" s="6" t="n"/>
      <c r="E271" s="9" t="n"/>
      <c r="F271" s="41"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c r="AB271" s="6" t="n"/>
    </row>
    <row r="272">
      <c r="A272" s="6" t="n"/>
      <c r="B272" s="6" t="n"/>
      <c r="C272" s="6" t="n"/>
      <c r="D272" s="6" t="n"/>
      <c r="E272" s="9" t="n"/>
      <c r="F272" s="41"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c r="AB272" s="6" t="n"/>
    </row>
    <row r="273">
      <c r="A273" s="6" t="n"/>
      <c r="B273" s="6" t="n"/>
      <c r="C273" s="6" t="n"/>
      <c r="D273" s="6" t="n"/>
      <c r="E273" s="9" t="n"/>
      <c r="F273" s="41"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c r="AB273" s="6" t="n"/>
    </row>
    <row r="274">
      <c r="A274" s="6" t="n"/>
      <c r="B274" s="6" t="n"/>
      <c r="C274" s="6" t="n"/>
      <c r="D274" s="6" t="n"/>
      <c r="E274" s="9" t="n"/>
      <c r="F274" s="41"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c r="AB274" s="6" t="n"/>
    </row>
    <row r="275">
      <c r="A275" s="6" t="n"/>
      <c r="B275" s="6" t="n"/>
      <c r="C275" s="6" t="n"/>
      <c r="D275" s="6" t="n"/>
      <c r="E275" s="9" t="n"/>
      <c r="F275" s="41"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c r="AB275" s="6" t="n"/>
    </row>
    <row r="276">
      <c r="A276" s="6" t="n"/>
      <c r="B276" s="6" t="n"/>
      <c r="C276" s="6" t="n"/>
      <c r="D276" s="6" t="n"/>
      <c r="E276" s="9" t="n"/>
      <c r="F276" s="41"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c r="AB276" s="6" t="n"/>
    </row>
    <row r="277">
      <c r="A277" s="6" t="n"/>
      <c r="B277" s="6" t="n"/>
      <c r="C277" s="6" t="n"/>
      <c r="D277" s="6" t="n"/>
      <c r="E277" s="9" t="n"/>
      <c r="F277" s="41"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c r="AB277" s="6" t="n"/>
    </row>
    <row r="278">
      <c r="A278" s="6" t="n"/>
      <c r="B278" s="6" t="n"/>
      <c r="C278" s="6" t="n"/>
      <c r="D278" s="6" t="n"/>
      <c r="E278" s="9" t="n"/>
      <c r="F278" s="41"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c r="AB278" s="6" t="n"/>
    </row>
    <row r="279">
      <c r="A279" s="6" t="n"/>
      <c r="B279" s="6" t="n"/>
      <c r="C279" s="6" t="n"/>
      <c r="D279" s="6" t="n"/>
      <c r="E279" s="9" t="n"/>
      <c r="F279" s="41"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6" t="n"/>
      <c r="AB279" s="6" t="n"/>
    </row>
    <row r="280">
      <c r="A280" s="6" t="n"/>
      <c r="B280" s="6" t="n"/>
      <c r="C280" s="6" t="n"/>
      <c r="D280" s="6" t="n"/>
      <c r="E280" s="9" t="n"/>
      <c r="F280" s="41"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6" t="n"/>
      <c r="AB280" s="6" t="n"/>
    </row>
    <row r="281">
      <c r="A281" s="6" t="n"/>
      <c r="B281" s="6" t="n"/>
      <c r="C281" s="6" t="n"/>
      <c r="D281" s="6" t="n"/>
      <c r="E281" s="9" t="n"/>
      <c r="F281" s="41"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6" t="n"/>
      <c r="AB281" s="6" t="n"/>
    </row>
    <row r="282">
      <c r="A282" s="6" t="n"/>
      <c r="B282" s="6" t="n"/>
      <c r="C282" s="6" t="n"/>
      <c r="D282" s="6" t="n"/>
      <c r="E282" s="9" t="n"/>
      <c r="F282" s="41"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6" t="n"/>
      <c r="AB282" s="6" t="n"/>
    </row>
    <row r="283">
      <c r="A283" s="6" t="n"/>
      <c r="B283" s="6" t="n"/>
      <c r="C283" s="6" t="n"/>
      <c r="D283" s="6" t="n"/>
      <c r="E283" s="9" t="n"/>
      <c r="F283" s="41"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6" t="n"/>
      <c r="AB283" s="6" t="n"/>
    </row>
    <row r="284">
      <c r="A284" s="6" t="n"/>
      <c r="B284" s="6" t="n"/>
      <c r="C284" s="6" t="n"/>
      <c r="D284" s="6" t="n"/>
      <c r="E284" s="9" t="n"/>
      <c r="F284" s="41"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6" t="n"/>
      <c r="AB284" s="6" t="n"/>
    </row>
    <row r="285">
      <c r="A285" s="6" t="n"/>
      <c r="B285" s="6" t="n"/>
      <c r="C285" s="6" t="n"/>
      <c r="D285" s="6" t="n"/>
      <c r="E285" s="9" t="n"/>
      <c r="F285" s="41"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6" t="n"/>
      <c r="AB285" s="6" t="n"/>
    </row>
    <row r="286">
      <c r="A286" s="6" t="n"/>
      <c r="B286" s="6" t="n"/>
      <c r="C286" s="6" t="n"/>
      <c r="D286" s="6" t="n"/>
      <c r="E286" s="9" t="n"/>
      <c r="F286" s="41"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6" t="n"/>
      <c r="AB286" s="6" t="n"/>
    </row>
    <row r="287">
      <c r="A287" s="6" t="n"/>
      <c r="B287" s="6" t="n"/>
      <c r="C287" s="6" t="n"/>
      <c r="D287" s="6" t="n"/>
      <c r="E287" s="9" t="n"/>
      <c r="F287" s="41"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6" t="n"/>
      <c r="AB287" s="6" t="n"/>
    </row>
    <row r="288">
      <c r="A288" s="6" t="n"/>
      <c r="B288" s="6" t="n"/>
      <c r="C288" s="6" t="n"/>
      <c r="D288" s="6" t="n"/>
      <c r="E288" s="9" t="n"/>
      <c r="F288" s="41"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6" t="n"/>
      <c r="AB288" s="6" t="n"/>
    </row>
    <row r="289">
      <c r="A289" s="6" t="n"/>
      <c r="B289" s="6" t="n"/>
      <c r="C289" s="6" t="n"/>
      <c r="D289" s="6" t="n"/>
      <c r="E289" s="9" t="n"/>
      <c r="F289" s="41"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6" t="n"/>
      <c r="AB289" s="6" t="n"/>
    </row>
    <row r="290">
      <c r="A290" s="6" t="n"/>
      <c r="B290" s="6" t="n"/>
      <c r="C290" s="6" t="n"/>
      <c r="D290" s="6" t="n"/>
      <c r="E290" s="9" t="n"/>
      <c r="F290" s="41"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6" t="n"/>
      <c r="AB290" s="6" t="n"/>
    </row>
    <row r="291">
      <c r="A291" s="6" t="n"/>
      <c r="B291" s="6" t="n"/>
      <c r="C291" s="6" t="n"/>
      <c r="D291" s="6" t="n"/>
      <c r="E291" s="9" t="n"/>
      <c r="F291" s="41"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row>
    <row r="292">
      <c r="A292" s="6" t="n"/>
      <c r="B292" s="6" t="n"/>
      <c r="C292" s="6" t="n"/>
      <c r="D292" s="6" t="n"/>
      <c r="E292" s="9" t="n"/>
      <c r="F292" s="41"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6" t="n"/>
      <c r="AB292" s="6" t="n"/>
    </row>
    <row r="293">
      <c r="A293" s="6" t="n"/>
      <c r="B293" s="6" t="n"/>
      <c r="C293" s="6" t="n"/>
      <c r="D293" s="6" t="n"/>
      <c r="E293" s="9" t="n"/>
      <c r="F293" s="41"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6" t="n"/>
      <c r="AB293" s="6" t="n"/>
    </row>
    <row r="294">
      <c r="A294" s="6" t="n"/>
      <c r="B294" s="6" t="n"/>
      <c r="C294" s="6" t="n"/>
      <c r="D294" s="6" t="n"/>
      <c r="E294" s="9" t="n"/>
      <c r="F294" s="41"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6" t="n"/>
      <c r="AB294" s="6" t="n"/>
    </row>
    <row r="295">
      <c r="A295" s="6" t="n"/>
      <c r="B295" s="6" t="n"/>
      <c r="C295" s="6" t="n"/>
      <c r="D295" s="6" t="n"/>
      <c r="E295" s="9" t="n"/>
      <c r="F295" s="41"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6" t="n"/>
      <c r="AB295" s="6" t="n"/>
    </row>
    <row r="296">
      <c r="A296" s="6" t="n"/>
      <c r="B296" s="6" t="n"/>
      <c r="C296" s="6" t="n"/>
      <c r="D296" s="6" t="n"/>
      <c r="E296" s="9" t="n"/>
      <c r="F296" s="41"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6" t="n"/>
      <c r="AB296" s="6" t="n"/>
    </row>
    <row r="297">
      <c r="A297" s="6" t="n"/>
      <c r="B297" s="6" t="n"/>
      <c r="C297" s="6" t="n"/>
      <c r="D297" s="6" t="n"/>
      <c r="E297" s="9" t="n"/>
      <c r="F297" s="41"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6" t="n"/>
      <c r="AB297" s="6" t="n"/>
    </row>
    <row r="298">
      <c r="A298" s="6" t="n"/>
      <c r="B298" s="6" t="n"/>
      <c r="C298" s="6" t="n"/>
      <c r="D298" s="6" t="n"/>
      <c r="E298" s="9" t="n"/>
      <c r="F298" s="41"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6" t="n"/>
      <c r="AB298" s="6" t="n"/>
    </row>
    <row r="299">
      <c r="A299" s="6" t="n"/>
      <c r="B299" s="6" t="n"/>
      <c r="C299" s="6" t="n"/>
      <c r="D299" s="6" t="n"/>
      <c r="E299" s="9" t="n"/>
      <c r="F299" s="41"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6" t="n"/>
      <c r="AB299" s="6" t="n"/>
    </row>
    <row r="300">
      <c r="A300" s="6" t="n"/>
      <c r="B300" s="6" t="n"/>
      <c r="C300" s="6" t="n"/>
      <c r="D300" s="6" t="n"/>
      <c r="E300" s="9" t="n"/>
      <c r="F300" s="41"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6" t="n"/>
      <c r="AB300" s="6" t="n"/>
    </row>
    <row r="301">
      <c r="A301" s="6" t="n"/>
      <c r="B301" s="6" t="n"/>
      <c r="C301" s="6" t="n"/>
      <c r="D301" s="6" t="n"/>
      <c r="E301" s="9" t="n"/>
      <c r="F301" s="41"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6" t="n"/>
      <c r="AB301" s="6" t="n"/>
    </row>
    <row r="302">
      <c r="A302" s="6" t="n"/>
      <c r="B302" s="6" t="n"/>
      <c r="C302" s="6" t="n"/>
      <c r="D302" s="6" t="n"/>
      <c r="E302" s="9" t="n"/>
      <c r="F302" s="41"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6" t="n"/>
      <c r="AB302" s="6" t="n"/>
    </row>
    <row r="303">
      <c r="A303" s="6" t="n"/>
      <c r="B303" s="6" t="n"/>
      <c r="C303" s="6" t="n"/>
      <c r="D303" s="6" t="n"/>
      <c r="E303" s="9" t="n"/>
      <c r="F303" s="41"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6" t="n"/>
      <c r="AB303" s="6" t="n"/>
    </row>
    <row r="304">
      <c r="A304" s="6" t="n"/>
      <c r="B304" s="6" t="n"/>
      <c r="C304" s="6" t="n"/>
      <c r="D304" s="6" t="n"/>
      <c r="E304" s="9" t="n"/>
      <c r="F304" s="41"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c r="AA304" s="6" t="n"/>
      <c r="AB304" s="6" t="n"/>
    </row>
    <row r="305">
      <c r="A305" s="6" t="n"/>
      <c r="B305" s="6" t="n"/>
      <c r="C305" s="6" t="n"/>
      <c r="D305" s="6" t="n"/>
      <c r="E305" s="9" t="n"/>
      <c r="F305" s="41"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c r="AA305" s="6" t="n"/>
      <c r="AB305" s="6" t="n"/>
    </row>
    <row r="306">
      <c r="A306" s="6" t="n"/>
      <c r="B306" s="6" t="n"/>
      <c r="C306" s="6" t="n"/>
      <c r="D306" s="6" t="n"/>
      <c r="E306" s="9" t="n"/>
      <c r="F306" s="41"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c r="AA306" s="6" t="n"/>
      <c r="AB306" s="6" t="n"/>
    </row>
    <row r="307">
      <c r="A307" s="6" t="n"/>
      <c r="B307" s="6" t="n"/>
      <c r="C307" s="6" t="n"/>
      <c r="D307" s="6" t="n"/>
      <c r="E307" s="9" t="n"/>
      <c r="F307" s="41"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c r="AA307" s="6" t="n"/>
      <c r="AB307" s="6" t="n"/>
    </row>
    <row r="308">
      <c r="A308" s="6" t="n"/>
      <c r="B308" s="6" t="n"/>
      <c r="C308" s="6" t="n"/>
      <c r="D308" s="6" t="n"/>
      <c r="E308" s="9" t="n"/>
      <c r="F308" s="41"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c r="AA308" s="6" t="n"/>
      <c r="AB308" s="6" t="n"/>
    </row>
    <row r="309">
      <c r="A309" s="6" t="n"/>
      <c r="B309" s="6" t="n"/>
      <c r="C309" s="6" t="n"/>
      <c r="D309" s="6" t="n"/>
      <c r="E309" s="9" t="n"/>
      <c r="F309" s="41"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c r="AA309" s="6" t="n"/>
      <c r="AB309" s="6" t="n"/>
    </row>
    <row r="310">
      <c r="A310" s="6" t="n"/>
      <c r="B310" s="6" t="n"/>
      <c r="C310" s="6" t="n"/>
      <c r="D310" s="6" t="n"/>
      <c r="E310" s="9" t="n"/>
      <c r="F310" s="41"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c r="AA310" s="6" t="n"/>
      <c r="AB310" s="6" t="n"/>
    </row>
    <row r="311">
      <c r="A311" s="6" t="n"/>
      <c r="B311" s="6" t="n"/>
      <c r="C311" s="6" t="n"/>
      <c r="D311" s="6" t="n"/>
      <c r="E311" s="9" t="n"/>
      <c r="F311" s="41"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c r="AA311" s="6" t="n"/>
      <c r="AB311" s="6" t="n"/>
    </row>
    <row r="312">
      <c r="A312" s="6" t="n"/>
      <c r="B312" s="6" t="n"/>
      <c r="C312" s="6" t="n"/>
      <c r="D312" s="6" t="n"/>
      <c r="E312" s="9" t="n"/>
      <c r="F312" s="41"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c r="AA312" s="6" t="n"/>
      <c r="AB312" s="6" t="n"/>
    </row>
    <row r="313">
      <c r="A313" s="6" t="n"/>
      <c r="B313" s="6" t="n"/>
      <c r="C313" s="6" t="n"/>
      <c r="D313" s="6" t="n"/>
      <c r="E313" s="9" t="n"/>
      <c r="F313" s="41"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c r="AA313" s="6" t="n"/>
      <c r="AB313" s="6" t="n"/>
    </row>
    <row r="314">
      <c r="A314" s="6" t="n"/>
      <c r="B314" s="6" t="n"/>
      <c r="C314" s="6" t="n"/>
      <c r="D314" s="6" t="n"/>
      <c r="E314" s="9" t="n"/>
      <c r="F314" s="41"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c r="AA314" s="6" t="n"/>
      <c r="AB314" s="6" t="n"/>
    </row>
    <row r="315">
      <c r="A315" s="6" t="n"/>
      <c r="B315" s="6" t="n"/>
      <c r="C315" s="6" t="n"/>
      <c r="D315" s="6" t="n"/>
      <c r="E315" s="9" t="n"/>
      <c r="F315" s="41"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c r="AA315" s="6" t="n"/>
      <c r="AB315" s="6" t="n"/>
    </row>
    <row r="316">
      <c r="A316" s="6" t="n"/>
      <c r="B316" s="6" t="n"/>
      <c r="C316" s="6" t="n"/>
      <c r="D316" s="6" t="n"/>
      <c r="E316" s="9" t="n"/>
      <c r="F316" s="41"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c r="AA316" s="6" t="n"/>
      <c r="AB316" s="6" t="n"/>
    </row>
    <row r="317">
      <c r="A317" s="6" t="n"/>
      <c r="B317" s="6" t="n"/>
      <c r="C317" s="6" t="n"/>
      <c r="D317" s="6" t="n"/>
      <c r="E317" s="9" t="n"/>
      <c r="F317" s="41"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c r="AA317" s="6" t="n"/>
      <c r="AB317" s="6" t="n"/>
    </row>
    <row r="318">
      <c r="A318" s="6" t="n"/>
      <c r="B318" s="6" t="n"/>
      <c r="C318" s="6" t="n"/>
      <c r="D318" s="6" t="n"/>
      <c r="E318" s="9" t="n"/>
      <c r="F318" s="41"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c r="AA318" s="6" t="n"/>
      <c r="AB318" s="6" t="n"/>
    </row>
    <row r="319">
      <c r="A319" s="6" t="n"/>
      <c r="B319" s="6" t="n"/>
      <c r="C319" s="6" t="n"/>
      <c r="D319" s="6" t="n"/>
      <c r="E319" s="9" t="n"/>
      <c r="F319" s="41"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c r="AA319" s="6" t="n"/>
      <c r="AB319" s="6" t="n"/>
    </row>
    <row r="320">
      <c r="A320" s="6" t="n"/>
      <c r="B320" s="6" t="n"/>
      <c r="C320" s="6" t="n"/>
      <c r="D320" s="6" t="n"/>
      <c r="E320" s="9" t="n"/>
      <c r="F320" s="41"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c r="AA320" s="6" t="n"/>
      <c r="AB320" s="6" t="n"/>
    </row>
    <row r="321">
      <c r="A321" s="6" t="n"/>
      <c r="B321" s="6" t="n"/>
      <c r="C321" s="6" t="n"/>
      <c r="D321" s="6" t="n"/>
      <c r="E321" s="9" t="n"/>
      <c r="F321" s="41"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c r="AA321" s="6" t="n"/>
      <c r="AB321" s="6" t="n"/>
    </row>
    <row r="322">
      <c r="A322" s="6" t="n"/>
      <c r="B322" s="6" t="n"/>
      <c r="C322" s="6" t="n"/>
      <c r="D322" s="6" t="n"/>
      <c r="E322" s="9" t="n"/>
      <c r="F322" s="41"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c r="AA322" s="6" t="n"/>
      <c r="AB322" s="6" t="n"/>
    </row>
    <row r="323">
      <c r="A323" s="6" t="n"/>
      <c r="B323" s="6" t="n"/>
      <c r="C323" s="6" t="n"/>
      <c r="D323" s="6" t="n"/>
      <c r="E323" s="9" t="n"/>
      <c r="F323" s="41"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c r="AA323" s="6" t="n"/>
      <c r="AB323" s="6" t="n"/>
    </row>
    <row r="324">
      <c r="A324" s="6" t="n"/>
      <c r="B324" s="6" t="n"/>
      <c r="C324" s="6" t="n"/>
      <c r="D324" s="6" t="n"/>
      <c r="E324" s="9" t="n"/>
      <c r="F324" s="41"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c r="AA324" s="6" t="n"/>
      <c r="AB324" s="6" t="n"/>
    </row>
    <row r="325">
      <c r="A325" s="6" t="n"/>
      <c r="B325" s="6" t="n"/>
      <c r="C325" s="6" t="n"/>
      <c r="D325" s="6" t="n"/>
      <c r="E325" s="9" t="n"/>
      <c r="F325" s="41"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c r="AA325" s="6" t="n"/>
      <c r="AB325" s="6" t="n"/>
    </row>
    <row r="326">
      <c r="A326" s="6" t="n"/>
      <c r="B326" s="6" t="n"/>
      <c r="C326" s="6" t="n"/>
      <c r="D326" s="6" t="n"/>
      <c r="E326" s="9" t="n"/>
      <c r="F326" s="41"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c r="AA326" s="6" t="n"/>
      <c r="AB326" s="6" t="n"/>
    </row>
    <row r="327">
      <c r="A327" s="6" t="n"/>
      <c r="B327" s="6" t="n"/>
      <c r="C327" s="6" t="n"/>
      <c r="D327" s="6" t="n"/>
      <c r="E327" s="9" t="n"/>
      <c r="F327" s="41"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c r="AA327" s="6" t="n"/>
      <c r="AB327" s="6" t="n"/>
    </row>
    <row r="328">
      <c r="A328" s="6" t="n"/>
      <c r="B328" s="6" t="n"/>
      <c r="C328" s="6" t="n"/>
      <c r="D328" s="6" t="n"/>
      <c r="E328" s="9" t="n"/>
      <c r="F328" s="41"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c r="AA328" s="6" t="n"/>
      <c r="AB328" s="6" t="n"/>
    </row>
    <row r="329">
      <c r="A329" s="6" t="n"/>
      <c r="B329" s="6" t="n"/>
      <c r="C329" s="6" t="n"/>
      <c r="D329" s="6" t="n"/>
      <c r="E329" s="9" t="n"/>
      <c r="F329" s="41"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c r="AA329" s="6" t="n"/>
      <c r="AB329" s="6" t="n"/>
    </row>
    <row r="330">
      <c r="A330" s="6" t="n"/>
      <c r="B330" s="6" t="n"/>
      <c r="C330" s="6" t="n"/>
      <c r="D330" s="6" t="n"/>
      <c r="E330" s="9" t="n"/>
      <c r="F330" s="41"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c r="AA330" s="6" t="n"/>
      <c r="AB330" s="6" t="n"/>
    </row>
    <row r="331">
      <c r="A331" s="6" t="n"/>
      <c r="B331" s="6" t="n"/>
      <c r="C331" s="6" t="n"/>
      <c r="D331" s="6" t="n"/>
      <c r="E331" s="9" t="n"/>
      <c r="F331" s="41"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c r="AA331" s="6" t="n"/>
      <c r="AB331" s="6" t="n"/>
    </row>
    <row r="332">
      <c r="A332" s="6" t="n"/>
      <c r="B332" s="6" t="n"/>
      <c r="C332" s="6" t="n"/>
      <c r="D332" s="6" t="n"/>
      <c r="E332" s="9" t="n"/>
      <c r="F332" s="41"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c r="AA332" s="6" t="n"/>
      <c r="AB332" s="6" t="n"/>
    </row>
    <row r="333">
      <c r="A333" s="6" t="n"/>
      <c r="B333" s="6" t="n"/>
      <c r="C333" s="6" t="n"/>
      <c r="D333" s="6" t="n"/>
      <c r="E333" s="9" t="n"/>
      <c r="F333" s="41"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c r="AA333" s="6" t="n"/>
      <c r="AB333" s="6" t="n"/>
    </row>
    <row r="334">
      <c r="A334" s="6" t="n"/>
      <c r="B334" s="6" t="n"/>
      <c r="C334" s="6" t="n"/>
      <c r="D334" s="6" t="n"/>
      <c r="E334" s="9" t="n"/>
      <c r="F334" s="41"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c r="AA334" s="6" t="n"/>
      <c r="AB334" s="6" t="n"/>
    </row>
    <row r="335">
      <c r="A335" s="6" t="n"/>
      <c r="B335" s="6" t="n"/>
      <c r="C335" s="6" t="n"/>
      <c r="D335" s="6" t="n"/>
      <c r="E335" s="9" t="n"/>
      <c r="F335" s="41"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c r="AA335" s="6" t="n"/>
      <c r="AB335" s="6" t="n"/>
    </row>
    <row r="336">
      <c r="A336" s="6" t="n"/>
      <c r="B336" s="6" t="n"/>
      <c r="C336" s="6" t="n"/>
      <c r="D336" s="6" t="n"/>
      <c r="E336" s="9" t="n"/>
      <c r="F336" s="41"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c r="AA336" s="6" t="n"/>
      <c r="AB336" s="6" t="n"/>
    </row>
    <row r="337">
      <c r="A337" s="6" t="n"/>
      <c r="B337" s="6" t="n"/>
      <c r="C337" s="6" t="n"/>
      <c r="D337" s="6" t="n"/>
      <c r="E337" s="9" t="n"/>
      <c r="F337" s="41"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c r="AA337" s="6" t="n"/>
      <c r="AB337" s="6" t="n"/>
    </row>
    <row r="338">
      <c r="A338" s="6" t="n"/>
      <c r="B338" s="6" t="n"/>
      <c r="C338" s="6" t="n"/>
      <c r="D338" s="6" t="n"/>
      <c r="E338" s="9" t="n"/>
      <c r="F338" s="41"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c r="AA338" s="6" t="n"/>
      <c r="AB338" s="6" t="n"/>
    </row>
    <row r="339">
      <c r="A339" s="6" t="n"/>
      <c r="B339" s="6" t="n"/>
      <c r="C339" s="6" t="n"/>
      <c r="D339" s="6" t="n"/>
      <c r="E339" s="9" t="n"/>
      <c r="F339" s="41"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c r="AA339" s="6" t="n"/>
      <c r="AB339" s="6" t="n"/>
    </row>
    <row r="340">
      <c r="A340" s="6" t="n"/>
      <c r="B340" s="6" t="n"/>
      <c r="C340" s="6" t="n"/>
      <c r="D340" s="6" t="n"/>
      <c r="E340" s="9" t="n"/>
      <c r="F340" s="41"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c r="AA340" s="6" t="n"/>
      <c r="AB340" s="6" t="n"/>
    </row>
    <row r="341">
      <c r="A341" s="6" t="n"/>
      <c r="B341" s="6" t="n"/>
      <c r="C341" s="6" t="n"/>
      <c r="D341" s="6" t="n"/>
      <c r="E341" s="9" t="n"/>
      <c r="F341" s="41"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c r="AA341" s="6" t="n"/>
      <c r="AB341" s="6" t="n"/>
    </row>
    <row r="342">
      <c r="A342" s="6" t="n"/>
      <c r="B342" s="6" t="n"/>
      <c r="C342" s="6" t="n"/>
      <c r="D342" s="6" t="n"/>
      <c r="E342" s="9" t="n"/>
      <c r="F342" s="41"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c r="AA342" s="6" t="n"/>
      <c r="AB342" s="6" t="n"/>
    </row>
    <row r="343">
      <c r="A343" s="6" t="n"/>
      <c r="B343" s="6" t="n"/>
      <c r="C343" s="6" t="n"/>
      <c r="D343" s="6" t="n"/>
      <c r="E343" s="9" t="n"/>
      <c r="F343" s="41"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c r="AA343" s="6" t="n"/>
      <c r="AB343" s="6" t="n"/>
    </row>
    <row r="344">
      <c r="A344" s="6" t="n"/>
      <c r="B344" s="6" t="n"/>
      <c r="C344" s="6" t="n"/>
      <c r="D344" s="6" t="n"/>
      <c r="E344" s="9" t="n"/>
      <c r="F344" s="41"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c r="AA344" s="6" t="n"/>
      <c r="AB344" s="6" t="n"/>
    </row>
    <row r="345">
      <c r="A345" s="6" t="n"/>
      <c r="B345" s="6" t="n"/>
      <c r="C345" s="6" t="n"/>
      <c r="D345" s="6" t="n"/>
      <c r="E345" s="9" t="n"/>
      <c r="F345" s="41"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c r="AA345" s="6" t="n"/>
      <c r="AB345" s="6" t="n"/>
    </row>
    <row r="346">
      <c r="A346" s="6" t="n"/>
      <c r="B346" s="6" t="n"/>
      <c r="C346" s="6" t="n"/>
      <c r="D346" s="6" t="n"/>
      <c r="E346" s="9" t="n"/>
      <c r="F346" s="41"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c r="AA346" s="6" t="n"/>
      <c r="AB346" s="6" t="n"/>
    </row>
    <row r="347">
      <c r="A347" s="6" t="n"/>
      <c r="B347" s="6" t="n"/>
      <c r="C347" s="6" t="n"/>
      <c r="D347" s="6" t="n"/>
      <c r="E347" s="9" t="n"/>
      <c r="F347" s="41"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c r="AA347" s="6" t="n"/>
      <c r="AB347" s="6" t="n"/>
    </row>
    <row r="348">
      <c r="A348" s="6" t="n"/>
      <c r="B348" s="6" t="n"/>
      <c r="C348" s="6" t="n"/>
      <c r="D348" s="6" t="n"/>
      <c r="E348" s="9" t="n"/>
      <c r="F348" s="41"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c r="AA348" s="6" t="n"/>
      <c r="AB348" s="6" t="n"/>
    </row>
    <row r="349">
      <c r="A349" s="6" t="n"/>
      <c r="B349" s="6" t="n"/>
      <c r="C349" s="6" t="n"/>
      <c r="D349" s="6" t="n"/>
      <c r="E349" s="9" t="n"/>
      <c r="F349" s="41"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c r="AA349" s="6" t="n"/>
      <c r="AB349" s="6" t="n"/>
    </row>
    <row r="350">
      <c r="A350" s="6" t="n"/>
      <c r="B350" s="6" t="n"/>
      <c r="C350" s="6" t="n"/>
      <c r="D350" s="6" t="n"/>
      <c r="E350" s="9" t="n"/>
      <c r="F350" s="41"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c r="AA350" s="6" t="n"/>
      <c r="AB350" s="6" t="n"/>
    </row>
    <row r="351">
      <c r="A351" s="6" t="n"/>
      <c r="B351" s="6" t="n"/>
      <c r="C351" s="6" t="n"/>
      <c r="D351" s="6" t="n"/>
      <c r="E351" s="9" t="n"/>
      <c r="F351" s="41"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c r="AA351" s="6" t="n"/>
      <c r="AB351" s="6" t="n"/>
    </row>
    <row r="352">
      <c r="A352" s="6" t="n"/>
      <c r="B352" s="6" t="n"/>
      <c r="C352" s="6" t="n"/>
      <c r="D352" s="6" t="n"/>
      <c r="E352" s="9" t="n"/>
      <c r="F352" s="41"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c r="AA352" s="6" t="n"/>
      <c r="AB352" s="6" t="n"/>
    </row>
    <row r="353">
      <c r="A353" s="6" t="n"/>
      <c r="B353" s="6" t="n"/>
      <c r="C353" s="6" t="n"/>
      <c r="D353" s="6" t="n"/>
      <c r="E353" s="9" t="n"/>
      <c r="F353" s="41"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c r="AA353" s="6" t="n"/>
      <c r="AB353" s="6" t="n"/>
    </row>
    <row r="354">
      <c r="A354" s="6" t="n"/>
      <c r="B354" s="6" t="n"/>
      <c r="C354" s="6" t="n"/>
      <c r="D354" s="6" t="n"/>
      <c r="E354" s="9" t="n"/>
      <c r="F354" s="41"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c r="AA354" s="6" t="n"/>
      <c r="AB354" s="6" t="n"/>
    </row>
    <row r="355">
      <c r="A355" s="6" t="n"/>
      <c r="B355" s="6" t="n"/>
      <c r="C355" s="6" t="n"/>
      <c r="D355" s="6" t="n"/>
      <c r="E355" s="9" t="n"/>
      <c r="F355" s="41"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c r="AA355" s="6" t="n"/>
      <c r="AB355" s="6" t="n"/>
    </row>
    <row r="356">
      <c r="A356" s="6" t="n"/>
      <c r="B356" s="6" t="n"/>
      <c r="C356" s="6" t="n"/>
      <c r="D356" s="6" t="n"/>
      <c r="E356" s="9" t="n"/>
      <c r="F356" s="41"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c r="AA356" s="6" t="n"/>
      <c r="AB356" s="6" t="n"/>
    </row>
    <row r="357">
      <c r="A357" s="6" t="n"/>
      <c r="B357" s="6" t="n"/>
      <c r="C357" s="6" t="n"/>
      <c r="D357" s="6" t="n"/>
      <c r="E357" s="9" t="n"/>
      <c r="F357" s="41"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c r="AA357" s="6" t="n"/>
      <c r="AB357" s="6" t="n"/>
    </row>
    <row r="358">
      <c r="A358" s="6" t="n"/>
      <c r="B358" s="6" t="n"/>
      <c r="C358" s="6" t="n"/>
      <c r="D358" s="6" t="n"/>
      <c r="E358" s="9" t="n"/>
      <c r="F358" s="41"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c r="AA358" s="6" t="n"/>
      <c r="AB358" s="6" t="n"/>
    </row>
    <row r="359">
      <c r="A359" s="6" t="n"/>
      <c r="B359" s="6" t="n"/>
      <c r="C359" s="6" t="n"/>
      <c r="D359" s="6" t="n"/>
      <c r="E359" s="9" t="n"/>
      <c r="F359" s="41"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c r="AA359" s="6" t="n"/>
      <c r="AB359" s="6" t="n"/>
    </row>
    <row r="360">
      <c r="A360" s="6" t="n"/>
      <c r="B360" s="6" t="n"/>
      <c r="C360" s="6" t="n"/>
      <c r="D360" s="6" t="n"/>
      <c r="E360" s="9" t="n"/>
      <c r="F360" s="41"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c r="AA360" s="6" t="n"/>
      <c r="AB360" s="6" t="n"/>
    </row>
    <row r="361">
      <c r="A361" s="6" t="n"/>
      <c r="B361" s="6" t="n"/>
      <c r="C361" s="6" t="n"/>
      <c r="D361" s="6" t="n"/>
      <c r="E361" s="9" t="n"/>
      <c r="F361" s="41"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c r="AA361" s="6" t="n"/>
      <c r="AB361" s="6" t="n"/>
    </row>
    <row r="362">
      <c r="A362" s="6" t="n"/>
      <c r="B362" s="6" t="n"/>
      <c r="C362" s="6" t="n"/>
      <c r="D362" s="6" t="n"/>
      <c r="E362" s="9" t="n"/>
      <c r="F362" s="41"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c r="AA362" s="6" t="n"/>
      <c r="AB362" s="6" t="n"/>
    </row>
    <row r="363">
      <c r="A363" s="6" t="n"/>
      <c r="B363" s="6" t="n"/>
      <c r="C363" s="6" t="n"/>
      <c r="D363" s="6" t="n"/>
      <c r="E363" s="9" t="n"/>
      <c r="F363" s="41"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c r="AA363" s="6" t="n"/>
      <c r="AB363" s="6" t="n"/>
    </row>
    <row r="364">
      <c r="A364" s="6" t="n"/>
      <c r="B364" s="6" t="n"/>
      <c r="C364" s="6" t="n"/>
      <c r="D364" s="6" t="n"/>
      <c r="E364" s="9" t="n"/>
      <c r="F364" s="41"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c r="AA364" s="6" t="n"/>
      <c r="AB364" s="6" t="n"/>
    </row>
    <row r="365">
      <c r="A365" s="6" t="n"/>
      <c r="B365" s="6" t="n"/>
      <c r="C365" s="6" t="n"/>
      <c r="D365" s="6" t="n"/>
      <c r="E365" s="9" t="n"/>
      <c r="F365" s="41"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c r="AA365" s="6" t="n"/>
      <c r="AB365" s="6" t="n"/>
    </row>
    <row r="366">
      <c r="A366" s="6" t="n"/>
      <c r="B366" s="6" t="n"/>
      <c r="C366" s="6" t="n"/>
      <c r="D366" s="6" t="n"/>
      <c r="E366" s="9" t="n"/>
      <c r="F366" s="41"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c r="AA366" s="6" t="n"/>
      <c r="AB366" s="6" t="n"/>
    </row>
    <row r="367">
      <c r="A367" s="6" t="n"/>
      <c r="B367" s="6" t="n"/>
      <c r="C367" s="6" t="n"/>
      <c r="D367" s="6" t="n"/>
      <c r="E367" s="9" t="n"/>
      <c r="F367" s="41"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c r="AA367" s="6" t="n"/>
      <c r="AB367" s="6" t="n"/>
    </row>
    <row r="368">
      <c r="A368" s="6" t="n"/>
      <c r="B368" s="6" t="n"/>
      <c r="C368" s="6" t="n"/>
      <c r="D368" s="6" t="n"/>
      <c r="E368" s="9" t="n"/>
      <c r="F368" s="41"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c r="AA368" s="6" t="n"/>
      <c r="AB368" s="6" t="n"/>
    </row>
    <row r="369">
      <c r="A369" s="6" t="n"/>
      <c r="B369" s="6" t="n"/>
      <c r="C369" s="6" t="n"/>
      <c r="D369" s="6" t="n"/>
      <c r="E369" s="9" t="n"/>
      <c r="F369" s="41"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c r="AA369" s="6" t="n"/>
      <c r="AB369" s="6" t="n"/>
    </row>
    <row r="370">
      <c r="A370" s="6" t="n"/>
      <c r="B370" s="6" t="n"/>
      <c r="C370" s="6" t="n"/>
      <c r="D370" s="6" t="n"/>
      <c r="E370" s="9" t="n"/>
      <c r="F370" s="41"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c r="AA370" s="6" t="n"/>
      <c r="AB370" s="6" t="n"/>
    </row>
    <row r="371">
      <c r="A371" s="6" t="n"/>
      <c r="B371" s="6" t="n"/>
      <c r="C371" s="6" t="n"/>
      <c r="D371" s="6" t="n"/>
      <c r="E371" s="9" t="n"/>
      <c r="F371" s="41"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c r="AA371" s="6" t="n"/>
      <c r="AB371" s="6" t="n"/>
    </row>
    <row r="372">
      <c r="A372" s="6" t="n"/>
      <c r="B372" s="6" t="n"/>
      <c r="C372" s="6" t="n"/>
      <c r="D372" s="6" t="n"/>
      <c r="E372" s="9" t="n"/>
      <c r="F372" s="41"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c r="AA372" s="6" t="n"/>
      <c r="AB372" s="6" t="n"/>
    </row>
    <row r="373">
      <c r="A373" s="6" t="n"/>
      <c r="B373" s="6" t="n"/>
      <c r="C373" s="6" t="n"/>
      <c r="D373" s="6" t="n"/>
      <c r="E373" s="9" t="n"/>
      <c r="F373" s="41"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c r="AA373" s="6" t="n"/>
      <c r="AB373" s="6" t="n"/>
    </row>
    <row r="374">
      <c r="A374" s="6" t="n"/>
      <c r="B374" s="6" t="n"/>
      <c r="C374" s="6" t="n"/>
      <c r="D374" s="6" t="n"/>
      <c r="E374" s="9" t="n"/>
      <c r="F374" s="41"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c r="AA374" s="6" t="n"/>
      <c r="AB374" s="6" t="n"/>
    </row>
    <row r="375">
      <c r="A375" s="6" t="n"/>
      <c r="B375" s="6" t="n"/>
      <c r="C375" s="6" t="n"/>
      <c r="D375" s="6" t="n"/>
      <c r="E375" s="9" t="n"/>
      <c r="F375" s="41"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c r="AA375" s="6" t="n"/>
      <c r="AB375" s="6" t="n"/>
    </row>
    <row r="376">
      <c r="A376" s="6" t="n"/>
      <c r="B376" s="6" t="n"/>
      <c r="C376" s="6" t="n"/>
      <c r="D376" s="6" t="n"/>
      <c r="E376" s="9" t="n"/>
      <c r="F376" s="41"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c r="AA376" s="6" t="n"/>
      <c r="AB376" s="6" t="n"/>
    </row>
    <row r="377">
      <c r="A377" s="6" t="n"/>
      <c r="B377" s="6" t="n"/>
      <c r="C377" s="6" t="n"/>
      <c r="D377" s="6" t="n"/>
      <c r="E377" s="9" t="n"/>
      <c r="F377" s="41"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c r="AA377" s="6" t="n"/>
      <c r="AB377" s="6" t="n"/>
    </row>
    <row r="378">
      <c r="A378" s="6" t="n"/>
      <c r="B378" s="6" t="n"/>
      <c r="C378" s="6" t="n"/>
      <c r="D378" s="6" t="n"/>
      <c r="E378" s="9" t="n"/>
      <c r="F378" s="41"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c r="AA378" s="6" t="n"/>
      <c r="AB378" s="6" t="n"/>
    </row>
    <row r="379">
      <c r="A379" s="6" t="n"/>
      <c r="B379" s="6" t="n"/>
      <c r="C379" s="6" t="n"/>
      <c r="D379" s="6" t="n"/>
      <c r="E379" s="9" t="n"/>
      <c r="F379" s="41"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c r="AA379" s="6" t="n"/>
      <c r="AB379" s="6" t="n"/>
    </row>
    <row r="380">
      <c r="A380" s="6" t="n"/>
      <c r="B380" s="6" t="n"/>
      <c r="C380" s="6" t="n"/>
      <c r="D380" s="6" t="n"/>
      <c r="E380" s="9" t="n"/>
      <c r="F380" s="41"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c r="AA380" s="6" t="n"/>
      <c r="AB380" s="6" t="n"/>
    </row>
    <row r="381">
      <c r="A381" s="6" t="n"/>
      <c r="B381" s="6" t="n"/>
      <c r="C381" s="6" t="n"/>
      <c r="D381" s="6" t="n"/>
      <c r="E381" s="9" t="n"/>
      <c r="F381" s="41"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c r="AA381" s="6" t="n"/>
      <c r="AB381" s="6" t="n"/>
    </row>
    <row r="382">
      <c r="A382" s="6" t="n"/>
      <c r="B382" s="6" t="n"/>
      <c r="C382" s="6" t="n"/>
      <c r="D382" s="6" t="n"/>
      <c r="E382" s="9" t="n"/>
      <c r="F382" s="41"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c r="AA382" s="6" t="n"/>
      <c r="AB382" s="6" t="n"/>
    </row>
    <row r="383">
      <c r="A383" s="6" t="n"/>
      <c r="B383" s="6" t="n"/>
      <c r="C383" s="6" t="n"/>
      <c r="D383" s="6" t="n"/>
      <c r="E383" s="9" t="n"/>
      <c r="F383" s="41"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c r="AA383" s="6" t="n"/>
      <c r="AB383" s="6" t="n"/>
    </row>
    <row r="384">
      <c r="A384" s="6" t="n"/>
      <c r="B384" s="6" t="n"/>
      <c r="C384" s="6" t="n"/>
      <c r="D384" s="6" t="n"/>
      <c r="E384" s="9" t="n"/>
      <c r="F384" s="41"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c r="AA384" s="6" t="n"/>
      <c r="AB384" s="6" t="n"/>
    </row>
    <row r="385">
      <c r="A385" s="6" t="n"/>
      <c r="B385" s="6" t="n"/>
      <c r="C385" s="6" t="n"/>
      <c r="D385" s="6" t="n"/>
      <c r="E385" s="9" t="n"/>
      <c r="F385" s="41"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c r="AA385" s="6" t="n"/>
      <c r="AB385" s="6" t="n"/>
    </row>
    <row r="386">
      <c r="A386" s="6" t="n"/>
      <c r="B386" s="6" t="n"/>
      <c r="C386" s="6" t="n"/>
      <c r="D386" s="6" t="n"/>
      <c r="E386" s="9" t="n"/>
      <c r="F386" s="41"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c r="AA386" s="6" t="n"/>
      <c r="AB386" s="6" t="n"/>
    </row>
    <row r="387">
      <c r="A387" s="6" t="n"/>
      <c r="B387" s="6" t="n"/>
      <c r="C387" s="6" t="n"/>
      <c r="D387" s="6" t="n"/>
      <c r="E387" s="9" t="n"/>
      <c r="F387" s="41"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c r="AA387" s="6" t="n"/>
      <c r="AB387" s="6" t="n"/>
    </row>
    <row r="388">
      <c r="A388" s="6" t="n"/>
      <c r="B388" s="6" t="n"/>
      <c r="C388" s="6" t="n"/>
      <c r="D388" s="6" t="n"/>
      <c r="E388" s="9" t="n"/>
      <c r="F388" s="41"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c r="AA388" s="6" t="n"/>
      <c r="AB388" s="6" t="n"/>
    </row>
    <row r="389">
      <c r="A389" s="6" t="n"/>
      <c r="B389" s="6" t="n"/>
      <c r="C389" s="6" t="n"/>
      <c r="D389" s="6" t="n"/>
      <c r="E389" s="9" t="n"/>
      <c r="F389" s="41"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c r="AA389" s="6" t="n"/>
      <c r="AB389" s="6" t="n"/>
    </row>
    <row r="390">
      <c r="A390" s="6" t="n"/>
      <c r="B390" s="6" t="n"/>
      <c r="C390" s="6" t="n"/>
      <c r="D390" s="6" t="n"/>
      <c r="E390" s="9" t="n"/>
      <c r="F390" s="41"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c r="AA390" s="6" t="n"/>
      <c r="AB390" s="6" t="n"/>
    </row>
    <row r="391">
      <c r="A391" s="6" t="n"/>
      <c r="B391" s="6" t="n"/>
      <c r="C391" s="6" t="n"/>
      <c r="D391" s="6" t="n"/>
      <c r="E391" s="9" t="n"/>
      <c r="F391" s="41"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c r="AA391" s="6" t="n"/>
      <c r="AB391" s="6" t="n"/>
    </row>
    <row r="392">
      <c r="A392" s="6" t="n"/>
      <c r="B392" s="6" t="n"/>
      <c r="C392" s="6" t="n"/>
      <c r="D392" s="6" t="n"/>
      <c r="E392" s="9" t="n"/>
      <c r="F392" s="41"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c r="AA392" s="6" t="n"/>
      <c r="AB392" s="6" t="n"/>
    </row>
    <row r="393">
      <c r="A393" s="6" t="n"/>
      <c r="B393" s="6" t="n"/>
      <c r="C393" s="6" t="n"/>
      <c r="D393" s="6" t="n"/>
      <c r="E393" s="9" t="n"/>
      <c r="F393" s="41"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c r="AA393" s="6" t="n"/>
      <c r="AB393" s="6" t="n"/>
    </row>
    <row r="394">
      <c r="A394" s="6" t="n"/>
      <c r="B394" s="6" t="n"/>
      <c r="C394" s="6" t="n"/>
      <c r="D394" s="6" t="n"/>
      <c r="E394" s="9" t="n"/>
      <c r="F394" s="41"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c r="AA394" s="6" t="n"/>
      <c r="AB394" s="6" t="n"/>
    </row>
    <row r="395">
      <c r="A395" s="6" t="n"/>
      <c r="B395" s="6" t="n"/>
      <c r="C395" s="6" t="n"/>
      <c r="D395" s="6" t="n"/>
      <c r="E395" s="9" t="n"/>
      <c r="F395" s="41"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c r="AA395" s="6" t="n"/>
      <c r="AB395" s="6" t="n"/>
    </row>
    <row r="396">
      <c r="A396" s="6" t="n"/>
      <c r="B396" s="6" t="n"/>
      <c r="C396" s="6" t="n"/>
      <c r="D396" s="6" t="n"/>
      <c r="E396" s="9" t="n"/>
      <c r="F396" s="41"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c r="AA396" s="6" t="n"/>
      <c r="AB396" s="6" t="n"/>
    </row>
    <row r="397">
      <c r="A397" s="6" t="n"/>
      <c r="B397" s="6" t="n"/>
      <c r="C397" s="6" t="n"/>
      <c r="D397" s="6" t="n"/>
      <c r="E397" s="9" t="n"/>
      <c r="F397" s="41"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c r="AA397" s="6" t="n"/>
      <c r="AB397" s="6" t="n"/>
    </row>
    <row r="398">
      <c r="A398" s="6" t="n"/>
      <c r="B398" s="6" t="n"/>
      <c r="C398" s="6" t="n"/>
      <c r="D398" s="6" t="n"/>
      <c r="E398" s="9" t="n"/>
      <c r="F398" s="41"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c r="AA398" s="6" t="n"/>
      <c r="AB398" s="6" t="n"/>
    </row>
    <row r="399">
      <c r="A399" s="6" t="n"/>
      <c r="B399" s="6" t="n"/>
      <c r="C399" s="6" t="n"/>
      <c r="D399" s="6" t="n"/>
      <c r="E399" s="9" t="n"/>
      <c r="F399" s="41"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c r="AA399" s="6" t="n"/>
      <c r="AB399" s="6" t="n"/>
    </row>
    <row r="400">
      <c r="A400" s="6" t="n"/>
      <c r="B400" s="6" t="n"/>
      <c r="C400" s="6" t="n"/>
      <c r="D400" s="6" t="n"/>
      <c r="E400" s="9" t="n"/>
      <c r="F400" s="41"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c r="AA400" s="6" t="n"/>
      <c r="AB400" s="6" t="n"/>
    </row>
    <row r="401">
      <c r="A401" s="6" t="n"/>
      <c r="B401" s="6" t="n"/>
      <c r="C401" s="6" t="n"/>
      <c r="D401" s="6" t="n"/>
      <c r="E401" s="9" t="n"/>
      <c r="F401" s="41"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c r="AA401" s="6" t="n"/>
      <c r="AB401" s="6" t="n"/>
    </row>
    <row r="402">
      <c r="A402" s="6" t="n"/>
      <c r="B402" s="6" t="n"/>
      <c r="C402" s="6" t="n"/>
      <c r="D402" s="6" t="n"/>
      <c r="E402" s="9" t="n"/>
      <c r="F402" s="41"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c r="AA402" s="6" t="n"/>
      <c r="AB402" s="6" t="n"/>
    </row>
    <row r="403">
      <c r="A403" s="6" t="n"/>
      <c r="B403" s="6" t="n"/>
      <c r="C403" s="6" t="n"/>
      <c r="D403" s="6" t="n"/>
      <c r="E403" s="9" t="n"/>
      <c r="F403" s="41"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c r="AA403" s="6" t="n"/>
      <c r="AB403" s="6" t="n"/>
    </row>
    <row r="404">
      <c r="A404" s="6" t="n"/>
      <c r="B404" s="6" t="n"/>
      <c r="C404" s="6" t="n"/>
      <c r="D404" s="6" t="n"/>
      <c r="E404" s="9" t="n"/>
      <c r="F404" s="41"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c r="AA404" s="6" t="n"/>
      <c r="AB404" s="6" t="n"/>
    </row>
    <row r="405">
      <c r="A405" s="6" t="n"/>
      <c r="B405" s="6" t="n"/>
      <c r="C405" s="6" t="n"/>
      <c r="D405" s="6" t="n"/>
      <c r="E405" s="9" t="n"/>
      <c r="F405" s="41"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c r="AA405" s="6" t="n"/>
      <c r="AB405" s="6" t="n"/>
    </row>
    <row r="406">
      <c r="A406" s="6" t="n"/>
      <c r="B406" s="6" t="n"/>
      <c r="C406" s="6" t="n"/>
      <c r="D406" s="6" t="n"/>
      <c r="E406" s="9" t="n"/>
      <c r="F406" s="41"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c r="AA406" s="6" t="n"/>
      <c r="AB406" s="6" t="n"/>
    </row>
    <row r="407">
      <c r="A407" s="6" t="n"/>
      <c r="B407" s="6" t="n"/>
      <c r="C407" s="6" t="n"/>
      <c r="D407" s="6" t="n"/>
      <c r="E407" s="9" t="n"/>
      <c r="F407" s="41"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c r="AA407" s="6" t="n"/>
      <c r="AB407" s="6" t="n"/>
    </row>
    <row r="408">
      <c r="A408" s="6" t="n"/>
      <c r="B408" s="6" t="n"/>
      <c r="C408" s="6" t="n"/>
      <c r="D408" s="6" t="n"/>
      <c r="E408" s="9" t="n"/>
      <c r="F408" s="41"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c r="AA408" s="6" t="n"/>
      <c r="AB408" s="6" t="n"/>
    </row>
    <row r="409">
      <c r="A409" s="6" t="n"/>
      <c r="B409" s="6" t="n"/>
      <c r="C409" s="6" t="n"/>
      <c r="D409" s="6" t="n"/>
      <c r="E409" s="9" t="n"/>
      <c r="F409" s="41"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c r="AA409" s="6" t="n"/>
      <c r="AB409" s="6" t="n"/>
    </row>
    <row r="410">
      <c r="A410" s="6" t="n"/>
      <c r="B410" s="6" t="n"/>
      <c r="C410" s="6" t="n"/>
      <c r="D410" s="6" t="n"/>
      <c r="E410" s="9" t="n"/>
      <c r="F410" s="41"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c r="AA410" s="6" t="n"/>
      <c r="AB410" s="6" t="n"/>
    </row>
    <row r="411">
      <c r="A411" s="6" t="n"/>
      <c r="B411" s="6" t="n"/>
      <c r="C411" s="6" t="n"/>
      <c r="D411" s="6" t="n"/>
      <c r="E411" s="9" t="n"/>
      <c r="F411" s="41"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c r="AA411" s="6" t="n"/>
      <c r="AB411" s="6" t="n"/>
    </row>
    <row r="412">
      <c r="A412" s="6" t="n"/>
      <c r="B412" s="6" t="n"/>
      <c r="C412" s="6" t="n"/>
      <c r="D412" s="6" t="n"/>
      <c r="E412" s="9" t="n"/>
      <c r="F412" s="41"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c r="AA412" s="6" t="n"/>
      <c r="AB412" s="6" t="n"/>
    </row>
    <row r="413">
      <c r="A413" s="6" t="n"/>
      <c r="B413" s="6" t="n"/>
      <c r="C413" s="6" t="n"/>
      <c r="D413" s="6" t="n"/>
      <c r="E413" s="9" t="n"/>
      <c r="F413" s="41"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c r="AA413" s="6" t="n"/>
      <c r="AB413" s="6" t="n"/>
    </row>
    <row r="414">
      <c r="A414" s="6" t="n"/>
      <c r="B414" s="6" t="n"/>
      <c r="C414" s="6" t="n"/>
      <c r="D414" s="6" t="n"/>
      <c r="E414" s="9" t="n"/>
      <c r="F414" s="41"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c r="AA414" s="6" t="n"/>
      <c r="AB414" s="6" t="n"/>
    </row>
    <row r="415">
      <c r="A415" s="6" t="n"/>
      <c r="B415" s="6" t="n"/>
      <c r="C415" s="6" t="n"/>
      <c r="D415" s="6" t="n"/>
      <c r="E415" s="9" t="n"/>
      <c r="F415" s="41"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c r="AA415" s="6" t="n"/>
      <c r="AB415" s="6" t="n"/>
    </row>
    <row r="416">
      <c r="A416" s="6" t="n"/>
      <c r="B416" s="6" t="n"/>
      <c r="C416" s="6" t="n"/>
      <c r="D416" s="6" t="n"/>
      <c r="E416" s="9" t="n"/>
      <c r="F416" s="41"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c r="AA416" s="6" t="n"/>
      <c r="AB416" s="6" t="n"/>
    </row>
    <row r="417">
      <c r="A417" s="6" t="n"/>
      <c r="B417" s="6" t="n"/>
      <c r="C417" s="6" t="n"/>
      <c r="D417" s="6" t="n"/>
      <c r="E417" s="9" t="n"/>
      <c r="F417" s="41"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c r="AA417" s="6" t="n"/>
      <c r="AB417" s="6" t="n"/>
    </row>
    <row r="418">
      <c r="A418" s="6" t="n"/>
      <c r="B418" s="6" t="n"/>
      <c r="C418" s="6" t="n"/>
      <c r="D418" s="6" t="n"/>
      <c r="E418" s="9" t="n"/>
      <c r="F418" s="41"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c r="AA418" s="6" t="n"/>
      <c r="AB418" s="6" t="n"/>
    </row>
    <row r="419">
      <c r="A419" s="6" t="n"/>
      <c r="B419" s="6" t="n"/>
      <c r="C419" s="6" t="n"/>
      <c r="D419" s="6" t="n"/>
      <c r="E419" s="9" t="n"/>
      <c r="F419" s="41"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c r="AA419" s="6" t="n"/>
      <c r="AB419" s="6" t="n"/>
    </row>
    <row r="420">
      <c r="A420" s="6" t="n"/>
      <c r="B420" s="6" t="n"/>
      <c r="C420" s="6" t="n"/>
      <c r="D420" s="6" t="n"/>
      <c r="E420" s="9" t="n"/>
      <c r="F420" s="41"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c r="AA420" s="6" t="n"/>
      <c r="AB420" s="6" t="n"/>
    </row>
    <row r="421">
      <c r="A421" s="6" t="n"/>
      <c r="B421" s="6" t="n"/>
      <c r="C421" s="6" t="n"/>
      <c r="D421" s="6" t="n"/>
      <c r="E421" s="9" t="n"/>
      <c r="F421" s="41"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c r="AA421" s="6" t="n"/>
      <c r="AB421" s="6" t="n"/>
    </row>
    <row r="422">
      <c r="A422" s="6" t="n"/>
      <c r="B422" s="6" t="n"/>
      <c r="C422" s="6" t="n"/>
      <c r="D422" s="6" t="n"/>
      <c r="E422" s="9" t="n"/>
      <c r="F422" s="41"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c r="AA422" s="6" t="n"/>
      <c r="AB422" s="6" t="n"/>
    </row>
    <row r="423">
      <c r="A423" s="6" t="n"/>
      <c r="B423" s="6" t="n"/>
      <c r="C423" s="6" t="n"/>
      <c r="D423" s="6" t="n"/>
      <c r="E423" s="9" t="n"/>
      <c r="F423" s="41"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c r="AA423" s="6" t="n"/>
      <c r="AB423" s="6" t="n"/>
    </row>
    <row r="424">
      <c r="A424" s="6" t="n"/>
      <c r="B424" s="6" t="n"/>
      <c r="C424" s="6" t="n"/>
      <c r="D424" s="6" t="n"/>
      <c r="E424" s="9" t="n"/>
      <c r="F424" s="41"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c r="AA424" s="6" t="n"/>
      <c r="AB424" s="6" t="n"/>
    </row>
    <row r="425">
      <c r="A425" s="6" t="n"/>
      <c r="B425" s="6" t="n"/>
      <c r="C425" s="6" t="n"/>
      <c r="D425" s="6" t="n"/>
      <c r="E425" s="9" t="n"/>
      <c r="F425" s="41"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c r="AA425" s="6" t="n"/>
      <c r="AB425" s="6" t="n"/>
    </row>
    <row r="426">
      <c r="A426" s="6" t="n"/>
      <c r="B426" s="6" t="n"/>
      <c r="C426" s="6" t="n"/>
      <c r="D426" s="6" t="n"/>
      <c r="E426" s="9" t="n"/>
      <c r="F426" s="41"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c r="AA426" s="6" t="n"/>
      <c r="AB426" s="6" t="n"/>
    </row>
    <row r="427">
      <c r="A427" s="6" t="n"/>
      <c r="B427" s="6" t="n"/>
      <c r="C427" s="6" t="n"/>
      <c r="D427" s="6" t="n"/>
      <c r="E427" s="9" t="n"/>
      <c r="F427" s="41"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c r="AA427" s="6" t="n"/>
      <c r="AB427" s="6" t="n"/>
    </row>
    <row r="428">
      <c r="A428" s="6" t="n"/>
      <c r="B428" s="6" t="n"/>
      <c r="C428" s="6" t="n"/>
      <c r="D428" s="6" t="n"/>
      <c r="E428" s="9" t="n"/>
      <c r="F428" s="41"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c r="AA428" s="6" t="n"/>
      <c r="AB428" s="6" t="n"/>
    </row>
    <row r="429">
      <c r="A429" s="6" t="n"/>
      <c r="B429" s="6" t="n"/>
      <c r="C429" s="6" t="n"/>
      <c r="D429" s="6" t="n"/>
      <c r="E429" s="9" t="n"/>
      <c r="F429" s="41"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c r="AA429" s="6" t="n"/>
      <c r="AB429" s="6" t="n"/>
    </row>
    <row r="430">
      <c r="A430" s="6" t="n"/>
      <c r="B430" s="6" t="n"/>
      <c r="C430" s="6" t="n"/>
      <c r="D430" s="6" t="n"/>
      <c r="E430" s="9" t="n"/>
      <c r="F430" s="41"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c r="AA430" s="6" t="n"/>
      <c r="AB430" s="6" t="n"/>
    </row>
    <row r="431">
      <c r="A431" s="6" t="n"/>
      <c r="B431" s="6" t="n"/>
      <c r="C431" s="6" t="n"/>
      <c r="D431" s="6" t="n"/>
      <c r="E431" s="9" t="n"/>
      <c r="F431" s="41"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c r="AA431" s="6" t="n"/>
      <c r="AB431" s="6" t="n"/>
    </row>
    <row r="432">
      <c r="A432" s="6" t="n"/>
      <c r="B432" s="6" t="n"/>
      <c r="C432" s="6" t="n"/>
      <c r="D432" s="6" t="n"/>
      <c r="E432" s="9" t="n"/>
      <c r="F432" s="41"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c r="AA432" s="6" t="n"/>
      <c r="AB432" s="6" t="n"/>
    </row>
    <row r="433">
      <c r="A433" s="6" t="n"/>
      <c r="B433" s="6" t="n"/>
      <c r="C433" s="6" t="n"/>
      <c r="D433" s="6" t="n"/>
      <c r="E433" s="9" t="n"/>
      <c r="F433" s="41"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c r="AA433" s="6" t="n"/>
      <c r="AB433" s="6" t="n"/>
    </row>
    <row r="434">
      <c r="A434" s="6" t="n"/>
      <c r="B434" s="6" t="n"/>
      <c r="C434" s="6" t="n"/>
      <c r="D434" s="6" t="n"/>
      <c r="E434" s="9" t="n"/>
      <c r="F434" s="41"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c r="AA434" s="6" t="n"/>
      <c r="AB434" s="6" t="n"/>
    </row>
    <row r="435">
      <c r="A435" s="6" t="n"/>
      <c r="B435" s="6" t="n"/>
      <c r="C435" s="6" t="n"/>
      <c r="D435" s="6" t="n"/>
      <c r="E435" s="9" t="n"/>
      <c r="F435" s="41"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c r="AA435" s="6" t="n"/>
      <c r="AB435" s="6" t="n"/>
    </row>
    <row r="436">
      <c r="A436" s="6" t="n"/>
      <c r="B436" s="6" t="n"/>
      <c r="C436" s="6" t="n"/>
      <c r="D436" s="6" t="n"/>
      <c r="E436" s="9" t="n"/>
      <c r="F436" s="41"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c r="AA436" s="6" t="n"/>
      <c r="AB436" s="6" t="n"/>
    </row>
    <row r="437">
      <c r="A437" s="6" t="n"/>
      <c r="B437" s="6" t="n"/>
      <c r="C437" s="6" t="n"/>
      <c r="D437" s="6" t="n"/>
      <c r="E437" s="9" t="n"/>
      <c r="F437" s="41"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c r="AA437" s="6" t="n"/>
      <c r="AB437" s="6" t="n"/>
    </row>
    <row r="438">
      <c r="A438" s="6" t="n"/>
      <c r="B438" s="6" t="n"/>
      <c r="C438" s="6" t="n"/>
      <c r="D438" s="6" t="n"/>
      <c r="E438" s="9" t="n"/>
      <c r="F438" s="41"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c r="AA438" s="6" t="n"/>
      <c r="AB438" s="6" t="n"/>
    </row>
    <row r="439">
      <c r="A439" s="6" t="n"/>
      <c r="B439" s="6" t="n"/>
      <c r="C439" s="6" t="n"/>
      <c r="D439" s="6" t="n"/>
      <c r="E439" s="9" t="n"/>
      <c r="F439" s="41"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c r="AA439" s="6" t="n"/>
      <c r="AB439" s="6" t="n"/>
    </row>
    <row r="440">
      <c r="A440" s="6" t="n"/>
      <c r="B440" s="6" t="n"/>
      <c r="C440" s="6" t="n"/>
      <c r="D440" s="6" t="n"/>
      <c r="E440" s="9" t="n"/>
      <c r="F440" s="41"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c r="AA440" s="6" t="n"/>
      <c r="AB440" s="6" t="n"/>
    </row>
    <row r="441">
      <c r="A441" s="6" t="n"/>
      <c r="B441" s="6" t="n"/>
      <c r="C441" s="6" t="n"/>
      <c r="D441" s="6" t="n"/>
      <c r="E441" s="9" t="n"/>
      <c r="F441" s="41"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c r="AA441" s="6" t="n"/>
      <c r="AB441" s="6" t="n"/>
    </row>
    <row r="442">
      <c r="A442" s="6" t="n"/>
      <c r="B442" s="6" t="n"/>
      <c r="C442" s="6" t="n"/>
      <c r="D442" s="6" t="n"/>
      <c r="E442" s="9" t="n"/>
      <c r="F442" s="41"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c r="AA442" s="6" t="n"/>
      <c r="AB442" s="6" t="n"/>
    </row>
    <row r="443">
      <c r="A443" s="6" t="n"/>
      <c r="B443" s="6" t="n"/>
      <c r="C443" s="6" t="n"/>
      <c r="D443" s="6" t="n"/>
      <c r="E443" s="9" t="n"/>
      <c r="F443" s="41"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c r="AA443" s="6" t="n"/>
      <c r="AB443" s="6" t="n"/>
    </row>
    <row r="444">
      <c r="A444" s="6" t="n"/>
      <c r="B444" s="6" t="n"/>
      <c r="C444" s="6" t="n"/>
      <c r="D444" s="6" t="n"/>
      <c r="E444" s="9" t="n"/>
      <c r="F444" s="41"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c r="AA444" s="6" t="n"/>
      <c r="AB444" s="6" t="n"/>
    </row>
    <row r="445">
      <c r="A445" s="6" t="n"/>
      <c r="B445" s="6" t="n"/>
      <c r="C445" s="6" t="n"/>
      <c r="D445" s="6" t="n"/>
      <c r="E445" s="9" t="n"/>
      <c r="F445" s="41"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c r="AA445" s="6" t="n"/>
      <c r="AB445" s="6" t="n"/>
    </row>
    <row r="446">
      <c r="A446" s="6" t="n"/>
      <c r="B446" s="6" t="n"/>
      <c r="C446" s="6" t="n"/>
      <c r="D446" s="6" t="n"/>
      <c r="E446" s="9" t="n"/>
      <c r="F446" s="41"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c r="AA446" s="6" t="n"/>
      <c r="AB446" s="6" t="n"/>
    </row>
    <row r="447">
      <c r="A447" s="6" t="n"/>
      <c r="B447" s="6" t="n"/>
      <c r="C447" s="6" t="n"/>
      <c r="D447" s="6" t="n"/>
      <c r="E447" s="9" t="n"/>
      <c r="F447" s="41"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c r="AA447" s="6" t="n"/>
      <c r="AB447" s="6" t="n"/>
    </row>
    <row r="448">
      <c r="A448" s="6" t="n"/>
      <c r="B448" s="6" t="n"/>
      <c r="C448" s="6" t="n"/>
      <c r="D448" s="6" t="n"/>
      <c r="E448" s="9" t="n"/>
      <c r="F448" s="41"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c r="AA448" s="6" t="n"/>
      <c r="AB448" s="6" t="n"/>
    </row>
    <row r="449">
      <c r="A449" s="6" t="n"/>
      <c r="B449" s="6" t="n"/>
      <c r="C449" s="6" t="n"/>
      <c r="D449" s="6" t="n"/>
      <c r="E449" s="9" t="n"/>
      <c r="F449" s="41"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c r="AA449" s="6" t="n"/>
      <c r="AB449" s="6" t="n"/>
    </row>
    <row r="450">
      <c r="A450" s="6" t="n"/>
      <c r="B450" s="6" t="n"/>
      <c r="C450" s="6" t="n"/>
      <c r="D450" s="6" t="n"/>
      <c r="E450" s="9" t="n"/>
      <c r="F450" s="41"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c r="AA450" s="6" t="n"/>
      <c r="AB450" s="6" t="n"/>
    </row>
    <row r="451">
      <c r="A451" s="6" t="n"/>
      <c r="B451" s="6" t="n"/>
      <c r="C451" s="6" t="n"/>
      <c r="D451" s="6" t="n"/>
      <c r="E451" s="9" t="n"/>
      <c r="F451" s="41"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c r="AA451" s="6" t="n"/>
      <c r="AB451" s="6" t="n"/>
    </row>
    <row r="452">
      <c r="A452" s="6" t="n"/>
      <c r="B452" s="6" t="n"/>
      <c r="C452" s="6" t="n"/>
      <c r="D452" s="6" t="n"/>
      <c r="E452" s="9" t="n"/>
      <c r="F452" s="41"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c r="AA452" s="6" t="n"/>
      <c r="AB452" s="6" t="n"/>
    </row>
    <row r="453">
      <c r="A453" s="6" t="n"/>
      <c r="B453" s="6" t="n"/>
      <c r="C453" s="6" t="n"/>
      <c r="D453" s="6" t="n"/>
      <c r="E453" s="9" t="n"/>
      <c r="F453" s="41"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c r="AA453" s="6" t="n"/>
      <c r="AB453" s="6" t="n"/>
    </row>
    <row r="454">
      <c r="A454" s="6" t="n"/>
      <c r="B454" s="6" t="n"/>
      <c r="C454" s="6" t="n"/>
      <c r="D454" s="6" t="n"/>
      <c r="E454" s="9" t="n"/>
      <c r="F454" s="41"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c r="AA454" s="6" t="n"/>
      <c r="AB454" s="6" t="n"/>
    </row>
    <row r="455">
      <c r="A455" s="6" t="n"/>
      <c r="B455" s="6" t="n"/>
      <c r="C455" s="6" t="n"/>
      <c r="D455" s="6" t="n"/>
      <c r="E455" s="9" t="n"/>
      <c r="F455" s="41"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c r="AA455" s="6" t="n"/>
      <c r="AB455" s="6" t="n"/>
    </row>
    <row r="456">
      <c r="A456" s="6" t="n"/>
      <c r="B456" s="6" t="n"/>
      <c r="C456" s="6" t="n"/>
      <c r="D456" s="6" t="n"/>
      <c r="E456" s="9" t="n"/>
      <c r="F456" s="41"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c r="AA456" s="6" t="n"/>
      <c r="AB456" s="6" t="n"/>
    </row>
    <row r="457">
      <c r="A457" s="6" t="n"/>
      <c r="B457" s="6" t="n"/>
      <c r="C457" s="6" t="n"/>
      <c r="D457" s="6" t="n"/>
      <c r="E457" s="9" t="n"/>
      <c r="F457" s="41"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c r="AA457" s="6" t="n"/>
      <c r="AB457" s="6" t="n"/>
    </row>
    <row r="458">
      <c r="A458" s="6" t="n"/>
      <c r="B458" s="6" t="n"/>
      <c r="C458" s="6" t="n"/>
      <c r="D458" s="6" t="n"/>
      <c r="E458" s="9" t="n"/>
      <c r="F458" s="41"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c r="AA458" s="6" t="n"/>
      <c r="AB458" s="6" t="n"/>
    </row>
    <row r="459">
      <c r="A459" s="6" t="n"/>
      <c r="B459" s="6" t="n"/>
      <c r="C459" s="6" t="n"/>
      <c r="D459" s="6" t="n"/>
      <c r="E459" s="9" t="n"/>
      <c r="F459" s="41"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c r="AA459" s="6" t="n"/>
      <c r="AB459" s="6" t="n"/>
    </row>
    <row r="460">
      <c r="A460" s="6" t="n"/>
      <c r="B460" s="6" t="n"/>
      <c r="C460" s="6" t="n"/>
      <c r="D460" s="6" t="n"/>
      <c r="E460" s="9" t="n"/>
      <c r="F460" s="41"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c r="AA460" s="6" t="n"/>
      <c r="AB460" s="6" t="n"/>
    </row>
    <row r="461">
      <c r="A461" s="6" t="n"/>
      <c r="B461" s="6" t="n"/>
      <c r="C461" s="6" t="n"/>
      <c r="D461" s="6" t="n"/>
      <c r="E461" s="9" t="n"/>
      <c r="F461" s="41"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c r="AA461" s="6" t="n"/>
      <c r="AB461" s="6" t="n"/>
    </row>
    <row r="462">
      <c r="A462" s="6" t="n"/>
      <c r="B462" s="6" t="n"/>
      <c r="C462" s="6" t="n"/>
      <c r="D462" s="6" t="n"/>
      <c r="E462" s="9" t="n"/>
      <c r="F462" s="41"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c r="AA462" s="6" t="n"/>
      <c r="AB462" s="6" t="n"/>
    </row>
    <row r="463">
      <c r="A463" s="6" t="n"/>
      <c r="B463" s="6" t="n"/>
      <c r="C463" s="6" t="n"/>
      <c r="D463" s="6" t="n"/>
      <c r="E463" s="9" t="n"/>
      <c r="F463" s="41"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c r="AA463" s="6" t="n"/>
      <c r="AB463" s="6" t="n"/>
    </row>
    <row r="464">
      <c r="A464" s="6" t="n"/>
      <c r="B464" s="6" t="n"/>
      <c r="C464" s="6" t="n"/>
      <c r="D464" s="6" t="n"/>
      <c r="E464" s="9" t="n"/>
      <c r="F464" s="41"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c r="AA464" s="6" t="n"/>
      <c r="AB464" s="6" t="n"/>
    </row>
    <row r="465">
      <c r="A465" s="6" t="n"/>
      <c r="B465" s="6" t="n"/>
      <c r="C465" s="6" t="n"/>
      <c r="D465" s="6" t="n"/>
      <c r="E465" s="9" t="n"/>
      <c r="F465" s="41"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c r="AA465" s="6" t="n"/>
      <c r="AB465" s="6" t="n"/>
    </row>
    <row r="466">
      <c r="A466" s="6" t="n"/>
      <c r="B466" s="6" t="n"/>
      <c r="C466" s="6" t="n"/>
      <c r="D466" s="6" t="n"/>
      <c r="E466" s="9" t="n"/>
      <c r="F466" s="41"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c r="AA466" s="6" t="n"/>
      <c r="AB466" s="6" t="n"/>
    </row>
    <row r="467">
      <c r="A467" s="6" t="n"/>
      <c r="B467" s="6" t="n"/>
      <c r="C467" s="6" t="n"/>
      <c r="D467" s="6" t="n"/>
      <c r="E467" s="9" t="n"/>
      <c r="F467" s="41"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c r="AA467" s="6" t="n"/>
      <c r="AB467" s="6" t="n"/>
    </row>
    <row r="468">
      <c r="A468" s="6" t="n"/>
      <c r="B468" s="6" t="n"/>
      <c r="C468" s="6" t="n"/>
      <c r="D468" s="6" t="n"/>
      <c r="E468" s="9" t="n"/>
      <c r="F468" s="41"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c r="AA468" s="6" t="n"/>
      <c r="AB468" s="6" t="n"/>
    </row>
    <row r="469">
      <c r="A469" s="6" t="n"/>
      <c r="B469" s="6" t="n"/>
      <c r="C469" s="6" t="n"/>
      <c r="D469" s="6" t="n"/>
      <c r="E469" s="9" t="n"/>
      <c r="F469" s="41"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c r="AA469" s="6" t="n"/>
      <c r="AB469" s="6" t="n"/>
    </row>
    <row r="470">
      <c r="A470" s="6" t="n"/>
      <c r="B470" s="6" t="n"/>
      <c r="C470" s="6" t="n"/>
      <c r="D470" s="6" t="n"/>
      <c r="E470" s="9" t="n"/>
      <c r="F470" s="41"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c r="AA470" s="6" t="n"/>
      <c r="AB470" s="6" t="n"/>
    </row>
    <row r="471">
      <c r="A471" s="6" t="n"/>
      <c r="B471" s="6" t="n"/>
      <c r="C471" s="6" t="n"/>
      <c r="D471" s="6" t="n"/>
      <c r="E471" s="9" t="n"/>
      <c r="F471" s="41"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c r="AA471" s="6" t="n"/>
      <c r="AB471" s="6" t="n"/>
    </row>
    <row r="472">
      <c r="A472" s="6" t="n"/>
      <c r="B472" s="6" t="n"/>
      <c r="C472" s="6" t="n"/>
      <c r="D472" s="6" t="n"/>
      <c r="E472" s="9" t="n"/>
      <c r="F472" s="41"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c r="AA472" s="6" t="n"/>
      <c r="AB472" s="6" t="n"/>
    </row>
    <row r="473">
      <c r="A473" s="6" t="n"/>
      <c r="B473" s="6" t="n"/>
      <c r="C473" s="6" t="n"/>
      <c r="D473" s="6" t="n"/>
      <c r="E473" s="9" t="n"/>
      <c r="F473" s="41"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c r="AA473" s="6" t="n"/>
      <c r="AB473" s="6" t="n"/>
    </row>
    <row r="474">
      <c r="A474" s="6" t="n"/>
      <c r="B474" s="6" t="n"/>
      <c r="C474" s="6" t="n"/>
      <c r="D474" s="6" t="n"/>
      <c r="E474" s="9" t="n"/>
      <c r="F474" s="41"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c r="AA474" s="6" t="n"/>
      <c r="AB474" s="6" t="n"/>
    </row>
    <row r="475">
      <c r="A475" s="6" t="n"/>
      <c r="B475" s="6" t="n"/>
      <c r="C475" s="6" t="n"/>
      <c r="D475" s="6" t="n"/>
      <c r="E475" s="9" t="n"/>
      <c r="F475" s="41"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c r="AA475" s="6" t="n"/>
      <c r="AB475" s="6" t="n"/>
    </row>
    <row r="476">
      <c r="A476" s="6" t="n"/>
      <c r="B476" s="6" t="n"/>
      <c r="C476" s="6" t="n"/>
      <c r="D476" s="6" t="n"/>
      <c r="E476" s="9" t="n"/>
      <c r="F476" s="41"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c r="AA476" s="6" t="n"/>
      <c r="AB476" s="6" t="n"/>
    </row>
    <row r="477">
      <c r="A477" s="6" t="n"/>
      <c r="B477" s="6" t="n"/>
      <c r="C477" s="6" t="n"/>
      <c r="D477" s="6" t="n"/>
      <c r="E477" s="9" t="n"/>
      <c r="F477" s="41"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c r="AA477" s="6" t="n"/>
      <c r="AB477" s="6" t="n"/>
    </row>
    <row r="478">
      <c r="A478" s="6" t="n"/>
      <c r="B478" s="6" t="n"/>
      <c r="C478" s="6" t="n"/>
      <c r="D478" s="6" t="n"/>
      <c r="E478" s="9" t="n"/>
      <c r="F478" s="41"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c r="AA478" s="6" t="n"/>
      <c r="AB478" s="6" t="n"/>
    </row>
    <row r="479">
      <c r="A479" s="6" t="n"/>
      <c r="B479" s="6" t="n"/>
      <c r="C479" s="6" t="n"/>
      <c r="D479" s="6" t="n"/>
      <c r="E479" s="9" t="n"/>
      <c r="F479" s="41"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c r="AA479" s="6" t="n"/>
      <c r="AB479" s="6" t="n"/>
    </row>
    <row r="480">
      <c r="A480" s="6" t="n"/>
      <c r="B480" s="6" t="n"/>
      <c r="C480" s="6" t="n"/>
      <c r="D480" s="6" t="n"/>
      <c r="E480" s="9" t="n"/>
      <c r="F480" s="41"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c r="AA480" s="6" t="n"/>
      <c r="AB480" s="6" t="n"/>
    </row>
    <row r="481">
      <c r="A481" s="6" t="n"/>
      <c r="B481" s="6" t="n"/>
      <c r="C481" s="6" t="n"/>
      <c r="D481" s="6" t="n"/>
      <c r="E481" s="9" t="n"/>
      <c r="F481" s="41"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c r="AA481" s="6" t="n"/>
      <c r="AB481" s="6" t="n"/>
    </row>
    <row r="482">
      <c r="A482" s="6" t="n"/>
      <c r="B482" s="6" t="n"/>
      <c r="C482" s="6" t="n"/>
      <c r="D482" s="6" t="n"/>
      <c r="E482" s="9" t="n"/>
      <c r="F482" s="41"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c r="AA482" s="6" t="n"/>
      <c r="AB482" s="6" t="n"/>
    </row>
    <row r="483">
      <c r="A483" s="6" t="n"/>
      <c r="B483" s="6" t="n"/>
      <c r="C483" s="6" t="n"/>
      <c r="D483" s="6" t="n"/>
      <c r="E483" s="9" t="n"/>
      <c r="F483" s="41"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c r="AA483" s="6" t="n"/>
      <c r="AB483" s="6" t="n"/>
    </row>
    <row r="484">
      <c r="A484" s="6" t="n"/>
      <c r="B484" s="6" t="n"/>
      <c r="C484" s="6" t="n"/>
      <c r="D484" s="6" t="n"/>
      <c r="E484" s="9" t="n"/>
      <c r="F484" s="41"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c r="AA484" s="6" t="n"/>
      <c r="AB484" s="6" t="n"/>
    </row>
    <row r="485">
      <c r="A485" s="6" t="n"/>
      <c r="B485" s="6" t="n"/>
      <c r="C485" s="6" t="n"/>
      <c r="D485" s="6" t="n"/>
      <c r="E485" s="9" t="n"/>
      <c r="F485" s="41"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c r="AA485" s="6" t="n"/>
      <c r="AB485" s="6" t="n"/>
    </row>
    <row r="486">
      <c r="A486" s="6" t="n"/>
      <c r="B486" s="6" t="n"/>
      <c r="C486" s="6" t="n"/>
      <c r="D486" s="6" t="n"/>
      <c r="E486" s="9" t="n"/>
      <c r="F486" s="41"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c r="AA486" s="6" t="n"/>
      <c r="AB486" s="6" t="n"/>
    </row>
    <row r="487">
      <c r="A487" s="6" t="n"/>
      <c r="B487" s="6" t="n"/>
      <c r="C487" s="6" t="n"/>
      <c r="D487" s="6" t="n"/>
      <c r="E487" s="9" t="n"/>
      <c r="F487" s="41"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c r="AA487" s="6" t="n"/>
      <c r="AB487" s="6" t="n"/>
    </row>
    <row r="488">
      <c r="A488" s="6" t="n"/>
      <c r="B488" s="6" t="n"/>
      <c r="C488" s="6" t="n"/>
      <c r="D488" s="6" t="n"/>
      <c r="E488" s="9" t="n"/>
      <c r="F488" s="41"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c r="AA488" s="6" t="n"/>
      <c r="AB488" s="6" t="n"/>
    </row>
    <row r="489">
      <c r="A489" s="6" t="n"/>
      <c r="B489" s="6" t="n"/>
      <c r="C489" s="6" t="n"/>
      <c r="D489" s="6" t="n"/>
      <c r="E489" s="9" t="n"/>
      <c r="F489" s="41"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c r="AA489" s="6" t="n"/>
      <c r="AB489" s="6" t="n"/>
    </row>
    <row r="490">
      <c r="A490" s="6" t="n"/>
      <c r="B490" s="6" t="n"/>
      <c r="C490" s="6" t="n"/>
      <c r="D490" s="6" t="n"/>
      <c r="E490" s="9" t="n"/>
      <c r="F490" s="41"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c r="AA490" s="6" t="n"/>
      <c r="AB490" s="6" t="n"/>
    </row>
    <row r="491">
      <c r="A491" s="6" t="n"/>
      <c r="B491" s="6" t="n"/>
      <c r="C491" s="6" t="n"/>
      <c r="D491" s="6" t="n"/>
      <c r="E491" s="9" t="n"/>
      <c r="F491" s="41"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c r="AA491" s="6" t="n"/>
      <c r="AB491" s="6" t="n"/>
    </row>
    <row r="492">
      <c r="A492" s="6" t="n"/>
      <c r="B492" s="6" t="n"/>
      <c r="C492" s="6" t="n"/>
      <c r="D492" s="6" t="n"/>
      <c r="E492" s="9" t="n"/>
      <c r="F492" s="41"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c r="AA492" s="6" t="n"/>
      <c r="AB492" s="6" t="n"/>
    </row>
    <row r="493">
      <c r="A493" s="6" t="n"/>
      <c r="B493" s="6" t="n"/>
      <c r="C493" s="6" t="n"/>
      <c r="D493" s="6" t="n"/>
      <c r="E493" s="9" t="n"/>
      <c r="F493" s="41"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c r="AA493" s="6" t="n"/>
      <c r="AB493" s="6" t="n"/>
    </row>
    <row r="494">
      <c r="A494" s="6" t="n"/>
      <c r="B494" s="6" t="n"/>
      <c r="C494" s="6" t="n"/>
      <c r="D494" s="6" t="n"/>
      <c r="E494" s="9" t="n"/>
      <c r="F494" s="41"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c r="AA494" s="6" t="n"/>
      <c r="AB494" s="6" t="n"/>
    </row>
    <row r="495">
      <c r="A495" s="6" t="n"/>
      <c r="B495" s="6" t="n"/>
      <c r="C495" s="6" t="n"/>
      <c r="D495" s="6" t="n"/>
      <c r="E495" s="9" t="n"/>
      <c r="F495" s="41"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c r="AA495" s="6" t="n"/>
      <c r="AB495" s="6" t="n"/>
    </row>
    <row r="496">
      <c r="A496" s="6" t="n"/>
      <c r="B496" s="6" t="n"/>
      <c r="C496" s="6" t="n"/>
      <c r="D496" s="6" t="n"/>
      <c r="E496" s="9" t="n"/>
      <c r="F496" s="41"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c r="AA496" s="6" t="n"/>
      <c r="AB496" s="6" t="n"/>
    </row>
    <row r="497">
      <c r="A497" s="6" t="n"/>
      <c r="B497" s="6" t="n"/>
      <c r="C497" s="6" t="n"/>
      <c r="D497" s="6" t="n"/>
      <c r="E497" s="9" t="n"/>
      <c r="F497" s="41"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c r="AA497" s="6" t="n"/>
      <c r="AB497" s="6" t="n"/>
    </row>
    <row r="498">
      <c r="A498" s="6" t="n"/>
      <c r="B498" s="6" t="n"/>
      <c r="C498" s="6" t="n"/>
      <c r="D498" s="6" t="n"/>
      <c r="E498" s="9" t="n"/>
      <c r="F498" s="41"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c r="AA498" s="6" t="n"/>
      <c r="AB498" s="6" t="n"/>
    </row>
    <row r="499">
      <c r="A499" s="6" t="n"/>
      <c r="B499" s="6" t="n"/>
      <c r="C499" s="6" t="n"/>
      <c r="D499" s="6" t="n"/>
      <c r="E499" s="9" t="n"/>
      <c r="F499" s="41"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c r="AA499" s="6" t="n"/>
      <c r="AB499" s="6" t="n"/>
    </row>
    <row r="500">
      <c r="A500" s="6" t="n"/>
      <c r="B500" s="6" t="n"/>
      <c r="C500" s="6" t="n"/>
      <c r="D500" s="6" t="n"/>
      <c r="E500" s="9" t="n"/>
      <c r="F500" s="41"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c r="AA500" s="6" t="n"/>
      <c r="AB500" s="6" t="n"/>
    </row>
    <row r="501">
      <c r="A501" s="6" t="n"/>
      <c r="B501" s="6" t="n"/>
      <c r="C501" s="6" t="n"/>
      <c r="D501" s="6" t="n"/>
      <c r="E501" s="9" t="n"/>
      <c r="F501" s="41"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c r="AA501" s="6" t="n"/>
      <c r="AB501" s="6" t="n"/>
    </row>
    <row r="502">
      <c r="A502" s="6" t="n"/>
      <c r="B502" s="6" t="n"/>
      <c r="C502" s="6" t="n"/>
      <c r="D502" s="6" t="n"/>
      <c r="E502" s="9" t="n"/>
      <c r="F502" s="41"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c r="AA502" s="6" t="n"/>
      <c r="AB502" s="6" t="n"/>
    </row>
    <row r="503">
      <c r="A503" s="6" t="n"/>
      <c r="B503" s="6" t="n"/>
      <c r="C503" s="6" t="n"/>
      <c r="D503" s="6" t="n"/>
      <c r="E503" s="9" t="n"/>
      <c r="F503" s="41"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c r="AA503" s="6" t="n"/>
      <c r="AB503" s="6" t="n"/>
    </row>
    <row r="504">
      <c r="A504" s="6" t="n"/>
      <c r="B504" s="6" t="n"/>
      <c r="C504" s="6" t="n"/>
      <c r="D504" s="6" t="n"/>
      <c r="E504" s="9" t="n"/>
      <c r="F504" s="41"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c r="AA504" s="6" t="n"/>
      <c r="AB504" s="6" t="n"/>
    </row>
    <row r="505">
      <c r="A505" s="6" t="n"/>
      <c r="B505" s="6" t="n"/>
      <c r="C505" s="6" t="n"/>
      <c r="D505" s="6" t="n"/>
      <c r="E505" s="9" t="n"/>
      <c r="F505" s="41"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c r="AA505" s="6" t="n"/>
      <c r="AB505" s="6" t="n"/>
    </row>
    <row r="506">
      <c r="A506" s="6" t="n"/>
      <c r="B506" s="6" t="n"/>
      <c r="C506" s="6" t="n"/>
      <c r="D506" s="6" t="n"/>
      <c r="E506" s="9" t="n"/>
      <c r="F506" s="41"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c r="AA506" s="6" t="n"/>
      <c r="AB506" s="6" t="n"/>
    </row>
    <row r="507">
      <c r="A507" s="6" t="n"/>
      <c r="B507" s="6" t="n"/>
      <c r="C507" s="6" t="n"/>
      <c r="D507" s="6" t="n"/>
      <c r="E507" s="9" t="n"/>
      <c r="F507" s="41"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c r="AA507" s="6" t="n"/>
      <c r="AB507" s="6" t="n"/>
    </row>
    <row r="508">
      <c r="A508" s="6" t="n"/>
      <c r="B508" s="6" t="n"/>
      <c r="C508" s="6" t="n"/>
      <c r="D508" s="6" t="n"/>
      <c r="E508" s="9" t="n"/>
      <c r="F508" s="41"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c r="AA508" s="6" t="n"/>
      <c r="AB508" s="6" t="n"/>
    </row>
    <row r="509">
      <c r="A509" s="6" t="n"/>
      <c r="B509" s="6" t="n"/>
      <c r="C509" s="6" t="n"/>
      <c r="D509" s="6" t="n"/>
      <c r="E509" s="9" t="n"/>
      <c r="F509" s="41"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c r="AA509" s="6" t="n"/>
      <c r="AB509" s="6" t="n"/>
    </row>
    <row r="510">
      <c r="A510" s="6" t="n"/>
      <c r="B510" s="6" t="n"/>
      <c r="C510" s="6" t="n"/>
      <c r="D510" s="6" t="n"/>
      <c r="E510" s="9" t="n"/>
      <c r="F510" s="41"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c r="AA510" s="6" t="n"/>
      <c r="AB510" s="6" t="n"/>
    </row>
    <row r="511">
      <c r="A511" s="6" t="n"/>
      <c r="B511" s="6" t="n"/>
      <c r="C511" s="6" t="n"/>
      <c r="D511" s="6" t="n"/>
      <c r="E511" s="9" t="n"/>
      <c r="F511" s="41"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c r="AA511" s="6" t="n"/>
      <c r="AB511" s="6" t="n"/>
    </row>
    <row r="512">
      <c r="A512" s="6" t="n"/>
      <c r="B512" s="6" t="n"/>
      <c r="C512" s="6" t="n"/>
      <c r="D512" s="6" t="n"/>
      <c r="E512" s="9" t="n"/>
      <c r="F512" s="41"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c r="AA512" s="6" t="n"/>
      <c r="AB512" s="6" t="n"/>
    </row>
    <row r="513">
      <c r="A513" s="6" t="n"/>
      <c r="B513" s="6" t="n"/>
      <c r="C513" s="6" t="n"/>
      <c r="D513" s="6" t="n"/>
      <c r="E513" s="9" t="n"/>
      <c r="F513" s="41"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c r="AA513" s="6" t="n"/>
      <c r="AB513" s="6" t="n"/>
    </row>
    <row r="514">
      <c r="A514" s="6" t="n"/>
      <c r="B514" s="6" t="n"/>
      <c r="C514" s="6" t="n"/>
      <c r="D514" s="6" t="n"/>
      <c r="E514" s="9" t="n"/>
      <c r="F514" s="41"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c r="AA514" s="6" t="n"/>
      <c r="AB514" s="6" t="n"/>
    </row>
    <row r="515">
      <c r="A515" s="6" t="n"/>
      <c r="B515" s="6" t="n"/>
      <c r="C515" s="6" t="n"/>
      <c r="D515" s="6" t="n"/>
      <c r="E515" s="9" t="n"/>
      <c r="F515" s="41"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c r="AA515" s="6" t="n"/>
      <c r="AB515" s="6" t="n"/>
    </row>
    <row r="516">
      <c r="A516" s="6" t="n"/>
      <c r="B516" s="6" t="n"/>
      <c r="C516" s="6" t="n"/>
      <c r="D516" s="6" t="n"/>
      <c r="E516" s="9" t="n"/>
      <c r="F516" s="41"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c r="AA516" s="6" t="n"/>
      <c r="AB516" s="6" t="n"/>
    </row>
    <row r="517">
      <c r="A517" s="6" t="n"/>
      <c r="B517" s="6" t="n"/>
      <c r="C517" s="6" t="n"/>
      <c r="D517" s="6" t="n"/>
      <c r="E517" s="9" t="n"/>
      <c r="F517" s="41"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c r="AA517" s="6" t="n"/>
      <c r="AB517" s="6" t="n"/>
    </row>
    <row r="518">
      <c r="A518" s="6" t="n"/>
      <c r="B518" s="6" t="n"/>
      <c r="C518" s="6" t="n"/>
      <c r="D518" s="6" t="n"/>
      <c r="E518" s="9" t="n"/>
      <c r="F518" s="41"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c r="AA518" s="6" t="n"/>
      <c r="AB518" s="6" t="n"/>
    </row>
    <row r="519">
      <c r="A519" s="6" t="n"/>
      <c r="B519" s="6" t="n"/>
      <c r="C519" s="6" t="n"/>
      <c r="D519" s="6" t="n"/>
      <c r="E519" s="9" t="n"/>
      <c r="F519" s="41"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c r="AA519" s="6" t="n"/>
      <c r="AB519" s="6" t="n"/>
    </row>
    <row r="520">
      <c r="A520" s="6" t="n"/>
      <c r="B520" s="6" t="n"/>
      <c r="C520" s="6" t="n"/>
      <c r="D520" s="6" t="n"/>
      <c r="E520" s="9" t="n"/>
      <c r="F520" s="41"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c r="AA520" s="6" t="n"/>
      <c r="AB520" s="6" t="n"/>
    </row>
    <row r="521">
      <c r="A521" s="6" t="n"/>
      <c r="B521" s="6" t="n"/>
      <c r="C521" s="6" t="n"/>
      <c r="D521" s="6" t="n"/>
      <c r="E521" s="9" t="n"/>
      <c r="F521" s="41"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c r="AA521" s="6" t="n"/>
      <c r="AB521" s="6" t="n"/>
    </row>
    <row r="522">
      <c r="A522" s="6" t="n"/>
      <c r="B522" s="6" t="n"/>
      <c r="C522" s="6" t="n"/>
      <c r="D522" s="6" t="n"/>
      <c r="E522" s="9" t="n"/>
      <c r="F522" s="41"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c r="AA522" s="6" t="n"/>
      <c r="AB522" s="6" t="n"/>
    </row>
    <row r="523">
      <c r="A523" s="6" t="n"/>
      <c r="B523" s="6" t="n"/>
      <c r="C523" s="6" t="n"/>
      <c r="D523" s="6" t="n"/>
      <c r="E523" s="9" t="n"/>
      <c r="F523" s="41"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c r="AA523" s="6" t="n"/>
      <c r="AB523" s="6" t="n"/>
    </row>
    <row r="524">
      <c r="A524" s="6" t="n"/>
      <c r="B524" s="6" t="n"/>
      <c r="C524" s="6" t="n"/>
      <c r="D524" s="6" t="n"/>
      <c r="E524" s="9" t="n"/>
      <c r="F524" s="41"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c r="AA524" s="6" t="n"/>
      <c r="AB524" s="6" t="n"/>
    </row>
    <row r="525">
      <c r="A525" s="6" t="n"/>
      <c r="B525" s="6" t="n"/>
      <c r="C525" s="6" t="n"/>
      <c r="D525" s="6" t="n"/>
      <c r="E525" s="9" t="n"/>
      <c r="F525" s="41"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c r="AA525" s="6" t="n"/>
      <c r="AB525" s="6" t="n"/>
    </row>
    <row r="526">
      <c r="A526" s="6" t="n"/>
      <c r="B526" s="6" t="n"/>
      <c r="C526" s="6" t="n"/>
      <c r="D526" s="6" t="n"/>
      <c r="E526" s="9" t="n"/>
      <c r="F526" s="41"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c r="AA526" s="6" t="n"/>
      <c r="AB526" s="6" t="n"/>
    </row>
    <row r="527">
      <c r="A527" s="6" t="n"/>
      <c r="B527" s="6" t="n"/>
      <c r="C527" s="6" t="n"/>
      <c r="D527" s="6" t="n"/>
      <c r="E527" s="9" t="n"/>
      <c r="F527" s="41"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c r="AA527" s="6" t="n"/>
      <c r="AB527" s="6" t="n"/>
    </row>
    <row r="528">
      <c r="A528" s="6" t="n"/>
      <c r="B528" s="6" t="n"/>
      <c r="C528" s="6" t="n"/>
      <c r="D528" s="6" t="n"/>
      <c r="E528" s="9" t="n"/>
      <c r="F528" s="41"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c r="AA528" s="6" t="n"/>
      <c r="AB528" s="6" t="n"/>
    </row>
    <row r="529">
      <c r="A529" s="6" t="n"/>
      <c r="B529" s="6" t="n"/>
      <c r="C529" s="6" t="n"/>
      <c r="D529" s="6" t="n"/>
      <c r="E529" s="9" t="n"/>
      <c r="F529" s="41"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c r="AA529" s="6" t="n"/>
      <c r="AB529" s="6" t="n"/>
    </row>
    <row r="530">
      <c r="A530" s="6" t="n"/>
      <c r="B530" s="6" t="n"/>
      <c r="C530" s="6" t="n"/>
      <c r="D530" s="6" t="n"/>
      <c r="E530" s="9" t="n"/>
      <c r="F530" s="41"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c r="AA530" s="6" t="n"/>
      <c r="AB530" s="6" t="n"/>
    </row>
    <row r="531">
      <c r="A531" s="6" t="n"/>
      <c r="B531" s="6" t="n"/>
      <c r="C531" s="6" t="n"/>
      <c r="D531" s="6" t="n"/>
      <c r="E531" s="9" t="n"/>
      <c r="F531" s="41"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c r="AA531" s="6" t="n"/>
      <c r="AB531" s="6" t="n"/>
    </row>
    <row r="532">
      <c r="A532" s="6" t="n"/>
      <c r="B532" s="6" t="n"/>
      <c r="C532" s="6" t="n"/>
      <c r="D532" s="6" t="n"/>
      <c r="E532" s="9" t="n"/>
      <c r="F532" s="41"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c r="AA532" s="6" t="n"/>
      <c r="AB532" s="6" t="n"/>
    </row>
    <row r="533">
      <c r="A533" s="6" t="n"/>
      <c r="B533" s="6" t="n"/>
      <c r="C533" s="6" t="n"/>
      <c r="D533" s="6" t="n"/>
      <c r="E533" s="9" t="n"/>
      <c r="F533" s="41"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c r="AA533" s="6" t="n"/>
      <c r="AB533" s="6" t="n"/>
    </row>
    <row r="534">
      <c r="A534" s="6" t="n"/>
      <c r="B534" s="6" t="n"/>
      <c r="C534" s="6" t="n"/>
      <c r="D534" s="6" t="n"/>
      <c r="E534" s="9" t="n"/>
      <c r="F534" s="41"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c r="AA534" s="6" t="n"/>
      <c r="AB534" s="6" t="n"/>
    </row>
    <row r="535">
      <c r="A535" s="6" t="n"/>
      <c r="B535" s="6" t="n"/>
      <c r="C535" s="6" t="n"/>
      <c r="D535" s="6" t="n"/>
      <c r="E535" s="9" t="n"/>
      <c r="F535" s="41"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c r="AA535" s="6" t="n"/>
      <c r="AB535" s="6" t="n"/>
    </row>
    <row r="536">
      <c r="A536" s="6" t="n"/>
      <c r="B536" s="6" t="n"/>
      <c r="C536" s="6" t="n"/>
      <c r="D536" s="6" t="n"/>
      <c r="E536" s="9" t="n"/>
      <c r="F536" s="41"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c r="AA536" s="6" t="n"/>
      <c r="AB536" s="6" t="n"/>
    </row>
    <row r="537">
      <c r="A537" s="6" t="n"/>
      <c r="B537" s="6" t="n"/>
      <c r="C537" s="6" t="n"/>
      <c r="D537" s="6" t="n"/>
      <c r="E537" s="9" t="n"/>
      <c r="F537" s="41"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c r="AA537" s="6" t="n"/>
      <c r="AB537" s="6" t="n"/>
    </row>
    <row r="538">
      <c r="A538" s="6" t="n"/>
      <c r="B538" s="6" t="n"/>
      <c r="C538" s="6" t="n"/>
      <c r="D538" s="6" t="n"/>
      <c r="E538" s="9" t="n"/>
      <c r="F538" s="41"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c r="AA538" s="6" t="n"/>
      <c r="AB538" s="6" t="n"/>
    </row>
    <row r="539">
      <c r="A539" s="6" t="n"/>
      <c r="B539" s="6" t="n"/>
      <c r="C539" s="6" t="n"/>
      <c r="D539" s="6" t="n"/>
      <c r="E539" s="9" t="n"/>
      <c r="F539" s="41"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c r="AA539" s="6" t="n"/>
      <c r="AB539" s="6" t="n"/>
    </row>
    <row r="540">
      <c r="A540" s="6" t="n"/>
      <c r="B540" s="6" t="n"/>
      <c r="C540" s="6" t="n"/>
      <c r="D540" s="6" t="n"/>
      <c r="E540" s="9" t="n"/>
      <c r="F540" s="41"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c r="AA540" s="6" t="n"/>
      <c r="AB540" s="6" t="n"/>
    </row>
    <row r="541">
      <c r="A541" s="6" t="n"/>
      <c r="B541" s="6" t="n"/>
      <c r="C541" s="6" t="n"/>
      <c r="D541" s="6" t="n"/>
      <c r="E541" s="9" t="n"/>
      <c r="F541" s="41"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c r="AA541" s="6" t="n"/>
      <c r="AB541" s="6" t="n"/>
    </row>
    <row r="542">
      <c r="A542" s="6" t="n"/>
      <c r="B542" s="6" t="n"/>
      <c r="C542" s="6" t="n"/>
      <c r="D542" s="6" t="n"/>
      <c r="E542" s="9" t="n"/>
      <c r="F542" s="41"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c r="AA542" s="6" t="n"/>
      <c r="AB542" s="6" t="n"/>
    </row>
    <row r="543">
      <c r="A543" s="6" t="n"/>
      <c r="B543" s="6" t="n"/>
      <c r="C543" s="6" t="n"/>
      <c r="D543" s="6" t="n"/>
      <c r="E543" s="9" t="n"/>
      <c r="F543" s="41"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c r="AA543" s="6" t="n"/>
      <c r="AB543" s="6" t="n"/>
    </row>
    <row r="544">
      <c r="A544" s="6" t="n"/>
      <c r="B544" s="6" t="n"/>
      <c r="C544" s="6" t="n"/>
      <c r="D544" s="6" t="n"/>
      <c r="E544" s="9" t="n"/>
      <c r="F544" s="41"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c r="AA544" s="6" t="n"/>
      <c r="AB544" s="6" t="n"/>
    </row>
    <row r="545">
      <c r="A545" s="6" t="n"/>
      <c r="B545" s="6" t="n"/>
      <c r="C545" s="6" t="n"/>
      <c r="D545" s="6" t="n"/>
      <c r="E545" s="9" t="n"/>
      <c r="F545" s="41"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c r="AA545" s="6" t="n"/>
      <c r="AB545" s="6" t="n"/>
    </row>
    <row r="546">
      <c r="A546" s="6" t="n"/>
      <c r="B546" s="6" t="n"/>
      <c r="C546" s="6" t="n"/>
      <c r="D546" s="6" t="n"/>
      <c r="E546" s="9" t="n"/>
      <c r="F546" s="41"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c r="AA546" s="6" t="n"/>
      <c r="AB546" s="6" t="n"/>
    </row>
    <row r="547">
      <c r="A547" s="6" t="n"/>
      <c r="B547" s="6" t="n"/>
      <c r="C547" s="6" t="n"/>
      <c r="D547" s="6" t="n"/>
      <c r="E547" s="9" t="n"/>
      <c r="F547" s="41"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c r="AA547" s="6" t="n"/>
      <c r="AB547" s="6" t="n"/>
    </row>
    <row r="548">
      <c r="A548" s="6" t="n"/>
      <c r="B548" s="6" t="n"/>
      <c r="C548" s="6" t="n"/>
      <c r="D548" s="6" t="n"/>
      <c r="E548" s="9" t="n"/>
      <c r="F548" s="41"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c r="AA548" s="6" t="n"/>
      <c r="AB548" s="6" t="n"/>
    </row>
    <row r="549">
      <c r="A549" s="6" t="n"/>
      <c r="B549" s="6" t="n"/>
      <c r="C549" s="6" t="n"/>
      <c r="D549" s="6" t="n"/>
      <c r="E549" s="9" t="n"/>
      <c r="F549" s="41"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c r="AA549" s="6" t="n"/>
      <c r="AB549" s="6" t="n"/>
    </row>
    <row r="550">
      <c r="A550" s="6" t="n"/>
      <c r="B550" s="6" t="n"/>
      <c r="C550" s="6" t="n"/>
      <c r="D550" s="6" t="n"/>
      <c r="E550" s="9" t="n"/>
      <c r="F550" s="41"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c r="AA550" s="6" t="n"/>
      <c r="AB550" s="6" t="n"/>
    </row>
    <row r="551">
      <c r="A551" s="6" t="n"/>
      <c r="B551" s="6" t="n"/>
      <c r="C551" s="6" t="n"/>
      <c r="D551" s="6" t="n"/>
      <c r="E551" s="9" t="n"/>
      <c r="F551" s="41"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c r="AA551" s="6" t="n"/>
      <c r="AB551" s="6" t="n"/>
    </row>
    <row r="552">
      <c r="A552" s="6" t="n"/>
      <c r="B552" s="6" t="n"/>
      <c r="C552" s="6" t="n"/>
      <c r="D552" s="6" t="n"/>
      <c r="E552" s="9" t="n"/>
      <c r="F552" s="41"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c r="AA552" s="6" t="n"/>
      <c r="AB552" s="6" t="n"/>
    </row>
    <row r="553">
      <c r="A553" s="6" t="n"/>
      <c r="B553" s="6" t="n"/>
      <c r="C553" s="6" t="n"/>
      <c r="D553" s="6" t="n"/>
      <c r="E553" s="9" t="n"/>
      <c r="F553" s="41"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c r="AA553" s="6" t="n"/>
      <c r="AB553" s="6" t="n"/>
    </row>
    <row r="554">
      <c r="A554" s="6" t="n"/>
      <c r="B554" s="6" t="n"/>
      <c r="C554" s="6" t="n"/>
      <c r="D554" s="6" t="n"/>
      <c r="E554" s="9" t="n"/>
      <c r="F554" s="41"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c r="AA554" s="6" t="n"/>
      <c r="AB554" s="6" t="n"/>
    </row>
    <row r="555">
      <c r="A555" s="6" t="n"/>
      <c r="B555" s="6" t="n"/>
      <c r="C555" s="6" t="n"/>
      <c r="D555" s="6" t="n"/>
      <c r="E555" s="9" t="n"/>
      <c r="F555" s="41"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c r="AA555" s="6" t="n"/>
      <c r="AB555" s="6" t="n"/>
    </row>
    <row r="556">
      <c r="A556" s="6" t="n"/>
      <c r="B556" s="6" t="n"/>
      <c r="C556" s="6" t="n"/>
      <c r="D556" s="6" t="n"/>
      <c r="E556" s="9" t="n"/>
      <c r="F556" s="41"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c r="AA556" s="6" t="n"/>
      <c r="AB556" s="6" t="n"/>
    </row>
    <row r="557">
      <c r="A557" s="6" t="n"/>
      <c r="B557" s="6" t="n"/>
      <c r="C557" s="6" t="n"/>
      <c r="D557" s="6" t="n"/>
      <c r="E557" s="9" t="n"/>
      <c r="F557" s="41"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c r="AA557" s="6" t="n"/>
      <c r="AB557" s="6" t="n"/>
    </row>
    <row r="558">
      <c r="A558" s="6" t="n"/>
      <c r="B558" s="6" t="n"/>
      <c r="C558" s="6" t="n"/>
      <c r="D558" s="6" t="n"/>
      <c r="E558" s="9" t="n"/>
      <c r="F558" s="41"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c r="AA558" s="6" t="n"/>
      <c r="AB558" s="6" t="n"/>
    </row>
    <row r="559">
      <c r="A559" s="6" t="n"/>
      <c r="B559" s="6" t="n"/>
      <c r="C559" s="6" t="n"/>
      <c r="D559" s="6" t="n"/>
      <c r="E559" s="9" t="n"/>
      <c r="F559" s="41"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c r="AA559" s="6" t="n"/>
      <c r="AB559" s="6" t="n"/>
    </row>
    <row r="560">
      <c r="A560" s="6" t="n"/>
      <c r="B560" s="6" t="n"/>
      <c r="C560" s="6" t="n"/>
      <c r="D560" s="6" t="n"/>
      <c r="E560" s="9" t="n"/>
      <c r="F560" s="41"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c r="AA560" s="6" t="n"/>
      <c r="AB560" s="6" t="n"/>
    </row>
    <row r="561">
      <c r="A561" s="6" t="n"/>
      <c r="B561" s="6" t="n"/>
      <c r="C561" s="6" t="n"/>
      <c r="D561" s="6" t="n"/>
      <c r="E561" s="9" t="n"/>
      <c r="F561" s="41"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c r="AA561" s="6" t="n"/>
      <c r="AB561" s="6" t="n"/>
    </row>
    <row r="562">
      <c r="A562" s="6" t="n"/>
      <c r="B562" s="6" t="n"/>
      <c r="C562" s="6" t="n"/>
      <c r="D562" s="6" t="n"/>
      <c r="E562" s="9" t="n"/>
      <c r="F562" s="41"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c r="AA562" s="6" t="n"/>
      <c r="AB562" s="6" t="n"/>
    </row>
    <row r="563">
      <c r="A563" s="6" t="n"/>
      <c r="B563" s="6" t="n"/>
      <c r="C563" s="6" t="n"/>
      <c r="D563" s="6" t="n"/>
      <c r="E563" s="9" t="n"/>
      <c r="F563" s="41"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c r="AA563" s="6" t="n"/>
      <c r="AB563" s="6" t="n"/>
    </row>
    <row r="564">
      <c r="A564" s="6" t="n"/>
      <c r="B564" s="6" t="n"/>
      <c r="C564" s="6" t="n"/>
      <c r="D564" s="6" t="n"/>
      <c r="E564" s="9" t="n"/>
      <c r="F564" s="41"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c r="AA564" s="6" t="n"/>
      <c r="AB564" s="6" t="n"/>
    </row>
    <row r="565">
      <c r="A565" s="6" t="n"/>
      <c r="B565" s="6" t="n"/>
      <c r="C565" s="6" t="n"/>
      <c r="D565" s="6" t="n"/>
      <c r="E565" s="9" t="n"/>
      <c r="F565" s="41"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c r="AA565" s="6" t="n"/>
      <c r="AB565" s="6" t="n"/>
    </row>
    <row r="566">
      <c r="A566" s="6" t="n"/>
      <c r="B566" s="6" t="n"/>
      <c r="C566" s="6" t="n"/>
      <c r="D566" s="6" t="n"/>
      <c r="E566" s="9" t="n"/>
      <c r="F566" s="41"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c r="AA566" s="6" t="n"/>
      <c r="AB566" s="6" t="n"/>
    </row>
    <row r="567">
      <c r="A567" s="6" t="n"/>
      <c r="B567" s="6" t="n"/>
      <c r="C567" s="6" t="n"/>
      <c r="D567" s="6" t="n"/>
      <c r="E567" s="9" t="n"/>
      <c r="F567" s="41"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c r="AA567" s="6" t="n"/>
      <c r="AB567" s="6" t="n"/>
    </row>
    <row r="568">
      <c r="A568" s="6" t="n"/>
      <c r="B568" s="6" t="n"/>
      <c r="C568" s="6" t="n"/>
      <c r="D568" s="6" t="n"/>
      <c r="E568" s="9" t="n"/>
      <c r="F568" s="41"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c r="AA568" s="6" t="n"/>
      <c r="AB568" s="6" t="n"/>
    </row>
    <row r="569">
      <c r="A569" s="6" t="n"/>
      <c r="B569" s="6" t="n"/>
      <c r="C569" s="6" t="n"/>
      <c r="D569" s="6" t="n"/>
      <c r="E569" s="9" t="n"/>
      <c r="F569" s="41"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c r="AA569" s="6" t="n"/>
      <c r="AB569" s="6" t="n"/>
    </row>
    <row r="570">
      <c r="A570" s="6" t="n"/>
      <c r="B570" s="6" t="n"/>
      <c r="C570" s="6" t="n"/>
      <c r="D570" s="6" t="n"/>
      <c r="E570" s="9" t="n"/>
      <c r="F570" s="41"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c r="AA570" s="6" t="n"/>
      <c r="AB570" s="6" t="n"/>
    </row>
    <row r="571">
      <c r="A571" s="6" t="n"/>
      <c r="B571" s="6" t="n"/>
      <c r="C571" s="6" t="n"/>
      <c r="D571" s="6" t="n"/>
      <c r="E571" s="9" t="n"/>
      <c r="F571" s="41"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c r="AA571" s="6" t="n"/>
      <c r="AB571" s="6" t="n"/>
    </row>
    <row r="572">
      <c r="A572" s="6" t="n"/>
      <c r="B572" s="6" t="n"/>
      <c r="C572" s="6" t="n"/>
      <c r="D572" s="6" t="n"/>
      <c r="E572" s="9" t="n"/>
      <c r="F572" s="41"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c r="AA572" s="6" t="n"/>
      <c r="AB572" s="6" t="n"/>
    </row>
    <row r="573">
      <c r="A573" s="6" t="n"/>
      <c r="B573" s="6" t="n"/>
      <c r="C573" s="6" t="n"/>
      <c r="D573" s="6" t="n"/>
      <c r="E573" s="9" t="n"/>
      <c r="F573" s="41"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c r="AA573" s="6" t="n"/>
      <c r="AB573" s="6" t="n"/>
    </row>
    <row r="574">
      <c r="A574" s="6" t="n"/>
      <c r="B574" s="6" t="n"/>
      <c r="C574" s="6" t="n"/>
      <c r="D574" s="6" t="n"/>
      <c r="E574" s="9" t="n"/>
      <c r="F574" s="41"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c r="AA574" s="6" t="n"/>
      <c r="AB574" s="6" t="n"/>
    </row>
    <row r="575">
      <c r="A575" s="6" t="n"/>
      <c r="B575" s="6" t="n"/>
      <c r="C575" s="6" t="n"/>
      <c r="D575" s="6" t="n"/>
      <c r="E575" s="9" t="n"/>
      <c r="F575" s="41"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c r="AA575" s="6" t="n"/>
      <c r="AB575" s="6" t="n"/>
    </row>
    <row r="576">
      <c r="A576" s="6" t="n"/>
      <c r="B576" s="6" t="n"/>
      <c r="C576" s="6" t="n"/>
      <c r="D576" s="6" t="n"/>
      <c r="E576" s="9" t="n"/>
      <c r="F576" s="41"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c r="AA576" s="6" t="n"/>
      <c r="AB576" s="6" t="n"/>
    </row>
    <row r="577">
      <c r="A577" s="6" t="n"/>
      <c r="B577" s="6" t="n"/>
      <c r="C577" s="6" t="n"/>
      <c r="D577" s="6" t="n"/>
      <c r="E577" s="9" t="n"/>
      <c r="F577" s="41"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c r="AA577" s="6" t="n"/>
      <c r="AB577" s="6" t="n"/>
    </row>
    <row r="578">
      <c r="A578" s="6" t="n"/>
      <c r="B578" s="6" t="n"/>
      <c r="C578" s="6" t="n"/>
      <c r="D578" s="6" t="n"/>
      <c r="E578" s="9" t="n"/>
      <c r="F578" s="41"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c r="AA578" s="6" t="n"/>
      <c r="AB578" s="6" t="n"/>
    </row>
    <row r="579">
      <c r="A579" s="6" t="n"/>
      <c r="B579" s="6" t="n"/>
      <c r="C579" s="6" t="n"/>
      <c r="D579" s="6" t="n"/>
      <c r="E579" s="9" t="n"/>
      <c r="F579" s="41"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c r="AA579" s="6" t="n"/>
      <c r="AB579" s="6" t="n"/>
    </row>
    <row r="580">
      <c r="A580" s="6" t="n"/>
      <c r="B580" s="6" t="n"/>
      <c r="C580" s="6" t="n"/>
      <c r="D580" s="6" t="n"/>
      <c r="E580" s="9" t="n"/>
      <c r="F580" s="41"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c r="AA580" s="6" t="n"/>
      <c r="AB580" s="6" t="n"/>
    </row>
    <row r="581">
      <c r="A581" s="6" t="n"/>
      <c r="B581" s="6" t="n"/>
      <c r="C581" s="6" t="n"/>
      <c r="D581" s="6" t="n"/>
      <c r="E581" s="9" t="n"/>
      <c r="F581" s="41"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c r="AA581" s="6" t="n"/>
      <c r="AB581" s="6" t="n"/>
    </row>
    <row r="582">
      <c r="A582" s="6" t="n"/>
      <c r="B582" s="6" t="n"/>
      <c r="C582" s="6" t="n"/>
      <c r="D582" s="6" t="n"/>
      <c r="E582" s="9" t="n"/>
      <c r="F582" s="41"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c r="AA582" s="6" t="n"/>
      <c r="AB582" s="6" t="n"/>
    </row>
    <row r="583">
      <c r="A583" s="6" t="n"/>
      <c r="B583" s="6" t="n"/>
      <c r="C583" s="6" t="n"/>
      <c r="D583" s="6" t="n"/>
      <c r="E583" s="9" t="n"/>
      <c r="F583" s="41"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c r="AA583" s="6" t="n"/>
      <c r="AB583" s="6" t="n"/>
    </row>
    <row r="584">
      <c r="A584" s="6" t="n"/>
      <c r="B584" s="6" t="n"/>
      <c r="C584" s="6" t="n"/>
      <c r="D584" s="6" t="n"/>
      <c r="E584" s="9" t="n"/>
      <c r="F584" s="41"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c r="AA584" s="6" t="n"/>
      <c r="AB584" s="6" t="n"/>
    </row>
    <row r="585">
      <c r="A585" s="6" t="n"/>
      <c r="B585" s="6" t="n"/>
      <c r="C585" s="6" t="n"/>
      <c r="D585" s="6" t="n"/>
      <c r="E585" s="9" t="n"/>
      <c r="F585" s="41"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c r="AA585" s="6" t="n"/>
      <c r="AB585" s="6" t="n"/>
    </row>
    <row r="586">
      <c r="A586" s="6" t="n"/>
      <c r="B586" s="6" t="n"/>
      <c r="C586" s="6" t="n"/>
      <c r="D586" s="6" t="n"/>
      <c r="E586" s="9" t="n"/>
      <c r="F586" s="41"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c r="AA586" s="6" t="n"/>
      <c r="AB586" s="6" t="n"/>
    </row>
    <row r="587">
      <c r="A587" s="6" t="n"/>
      <c r="B587" s="6" t="n"/>
      <c r="C587" s="6" t="n"/>
      <c r="D587" s="6" t="n"/>
      <c r="E587" s="9" t="n"/>
      <c r="F587" s="41"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c r="AA587" s="6" t="n"/>
      <c r="AB587" s="6" t="n"/>
    </row>
    <row r="588">
      <c r="A588" s="6" t="n"/>
      <c r="B588" s="6" t="n"/>
      <c r="C588" s="6" t="n"/>
      <c r="D588" s="6" t="n"/>
      <c r="E588" s="9" t="n"/>
      <c r="F588" s="41"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c r="AA588" s="6" t="n"/>
      <c r="AB588" s="6" t="n"/>
    </row>
    <row r="589">
      <c r="A589" s="6" t="n"/>
      <c r="B589" s="6" t="n"/>
      <c r="C589" s="6" t="n"/>
      <c r="D589" s="6" t="n"/>
      <c r="E589" s="9" t="n"/>
      <c r="F589" s="41"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c r="AA589" s="6" t="n"/>
      <c r="AB589" s="6" t="n"/>
    </row>
    <row r="590">
      <c r="A590" s="6" t="n"/>
      <c r="B590" s="6" t="n"/>
      <c r="C590" s="6" t="n"/>
      <c r="D590" s="6" t="n"/>
      <c r="E590" s="9" t="n"/>
      <c r="F590" s="41"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c r="AA590" s="6" t="n"/>
      <c r="AB590" s="6" t="n"/>
    </row>
    <row r="591">
      <c r="A591" s="6" t="n"/>
      <c r="B591" s="6" t="n"/>
      <c r="C591" s="6" t="n"/>
      <c r="D591" s="6" t="n"/>
      <c r="E591" s="9" t="n"/>
      <c r="F591" s="41"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c r="AA591" s="6" t="n"/>
      <c r="AB591" s="6" t="n"/>
    </row>
    <row r="592">
      <c r="A592" s="6" t="n"/>
      <c r="B592" s="6" t="n"/>
      <c r="C592" s="6" t="n"/>
      <c r="D592" s="6" t="n"/>
      <c r="E592" s="9" t="n"/>
      <c r="F592" s="41"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c r="AA592" s="6" t="n"/>
      <c r="AB592" s="6" t="n"/>
    </row>
    <row r="593">
      <c r="A593" s="6" t="n"/>
      <c r="B593" s="6" t="n"/>
      <c r="C593" s="6" t="n"/>
      <c r="D593" s="6" t="n"/>
      <c r="E593" s="9" t="n"/>
      <c r="F593" s="41"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c r="AA593" s="6" t="n"/>
      <c r="AB593" s="6" t="n"/>
    </row>
    <row r="594">
      <c r="A594" s="6" t="n"/>
      <c r="B594" s="6" t="n"/>
      <c r="C594" s="6" t="n"/>
      <c r="D594" s="6" t="n"/>
      <c r="E594" s="9" t="n"/>
      <c r="F594" s="41"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c r="AA594" s="6" t="n"/>
      <c r="AB594" s="6" t="n"/>
    </row>
    <row r="595">
      <c r="A595" s="6" t="n"/>
      <c r="B595" s="6" t="n"/>
      <c r="C595" s="6" t="n"/>
      <c r="D595" s="6" t="n"/>
      <c r="E595" s="9" t="n"/>
      <c r="F595" s="41"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c r="AA595" s="6" t="n"/>
      <c r="AB595" s="6" t="n"/>
    </row>
    <row r="596">
      <c r="A596" s="6" t="n"/>
      <c r="B596" s="6" t="n"/>
      <c r="C596" s="6" t="n"/>
      <c r="D596" s="6" t="n"/>
      <c r="E596" s="9" t="n"/>
      <c r="F596" s="41"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c r="AA596" s="6" t="n"/>
      <c r="AB596" s="6" t="n"/>
    </row>
    <row r="597">
      <c r="A597" s="6" t="n"/>
      <c r="B597" s="6" t="n"/>
      <c r="C597" s="6" t="n"/>
      <c r="D597" s="6" t="n"/>
      <c r="E597" s="9" t="n"/>
      <c r="F597" s="41"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c r="AA597" s="6" t="n"/>
      <c r="AB597" s="6" t="n"/>
    </row>
    <row r="598">
      <c r="A598" s="6" t="n"/>
      <c r="B598" s="6" t="n"/>
      <c r="C598" s="6" t="n"/>
      <c r="D598" s="6" t="n"/>
      <c r="E598" s="9" t="n"/>
      <c r="F598" s="41"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c r="AA598" s="6" t="n"/>
      <c r="AB598" s="6" t="n"/>
    </row>
    <row r="599">
      <c r="A599" s="6" t="n"/>
      <c r="B599" s="6" t="n"/>
      <c r="C599" s="6" t="n"/>
      <c r="D599" s="6" t="n"/>
      <c r="E599" s="9" t="n"/>
      <c r="F599" s="41"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c r="AA599" s="6" t="n"/>
      <c r="AB599" s="6" t="n"/>
    </row>
    <row r="600">
      <c r="A600" s="6" t="n"/>
      <c r="B600" s="6" t="n"/>
      <c r="C600" s="6" t="n"/>
      <c r="D600" s="6" t="n"/>
      <c r="E600" s="9" t="n"/>
      <c r="F600" s="41"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c r="AA600" s="6" t="n"/>
      <c r="AB600" s="6" t="n"/>
    </row>
    <row r="601">
      <c r="A601" s="6" t="n"/>
      <c r="B601" s="6" t="n"/>
      <c r="C601" s="6" t="n"/>
      <c r="D601" s="6" t="n"/>
      <c r="E601" s="9" t="n"/>
      <c r="F601" s="41"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c r="AA601" s="6" t="n"/>
      <c r="AB601" s="6" t="n"/>
    </row>
    <row r="602">
      <c r="A602" s="6" t="n"/>
      <c r="B602" s="6" t="n"/>
      <c r="C602" s="6" t="n"/>
      <c r="D602" s="6" t="n"/>
      <c r="E602" s="9" t="n"/>
      <c r="F602" s="41"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c r="AA602" s="6" t="n"/>
      <c r="AB602" s="6" t="n"/>
    </row>
    <row r="603">
      <c r="A603" s="6" t="n"/>
      <c r="B603" s="6" t="n"/>
      <c r="C603" s="6" t="n"/>
      <c r="D603" s="6" t="n"/>
      <c r="E603" s="9" t="n"/>
      <c r="F603" s="41"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c r="AA603" s="6" t="n"/>
      <c r="AB603" s="6" t="n"/>
    </row>
    <row r="604">
      <c r="A604" s="6" t="n"/>
      <c r="B604" s="6" t="n"/>
      <c r="C604" s="6" t="n"/>
      <c r="D604" s="6" t="n"/>
      <c r="E604" s="9" t="n"/>
      <c r="F604" s="41"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c r="AA604" s="6" t="n"/>
      <c r="AB604" s="6" t="n"/>
    </row>
    <row r="605">
      <c r="A605" s="6" t="n"/>
      <c r="B605" s="6" t="n"/>
      <c r="C605" s="6" t="n"/>
      <c r="D605" s="6" t="n"/>
      <c r="E605" s="9" t="n"/>
      <c r="F605" s="41"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c r="AA605" s="6" t="n"/>
      <c r="AB605" s="6" t="n"/>
    </row>
    <row r="606">
      <c r="A606" s="6" t="n"/>
      <c r="B606" s="6" t="n"/>
      <c r="C606" s="6" t="n"/>
      <c r="D606" s="6" t="n"/>
      <c r="E606" s="9" t="n"/>
      <c r="F606" s="41"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c r="AA606" s="6" t="n"/>
      <c r="AB606" s="6" t="n"/>
    </row>
    <row r="607">
      <c r="A607" s="6" t="n"/>
      <c r="B607" s="6" t="n"/>
      <c r="C607" s="6" t="n"/>
      <c r="D607" s="6" t="n"/>
      <c r="E607" s="9" t="n"/>
      <c r="F607" s="41"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c r="AA607" s="6" t="n"/>
      <c r="AB607" s="6" t="n"/>
    </row>
    <row r="608">
      <c r="A608" s="6" t="n"/>
      <c r="B608" s="6" t="n"/>
      <c r="C608" s="6" t="n"/>
      <c r="D608" s="6" t="n"/>
      <c r="E608" s="9" t="n"/>
      <c r="F608" s="41"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c r="AA608" s="6" t="n"/>
      <c r="AB608" s="6" t="n"/>
    </row>
    <row r="609">
      <c r="A609" s="6" t="n"/>
      <c r="B609" s="6" t="n"/>
      <c r="C609" s="6" t="n"/>
      <c r="D609" s="6" t="n"/>
      <c r="E609" s="9" t="n"/>
      <c r="F609" s="41"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c r="AA609" s="6" t="n"/>
      <c r="AB609" s="6" t="n"/>
    </row>
    <row r="610">
      <c r="A610" s="6" t="n"/>
      <c r="B610" s="6" t="n"/>
      <c r="C610" s="6" t="n"/>
      <c r="D610" s="6" t="n"/>
      <c r="E610" s="9" t="n"/>
      <c r="F610" s="41"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c r="AA610" s="6" t="n"/>
      <c r="AB610" s="6" t="n"/>
    </row>
    <row r="611">
      <c r="A611" s="6" t="n"/>
      <c r="B611" s="6" t="n"/>
      <c r="C611" s="6" t="n"/>
      <c r="D611" s="6" t="n"/>
      <c r="E611" s="9" t="n"/>
      <c r="F611" s="41"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c r="AA611" s="6" t="n"/>
      <c r="AB611" s="6" t="n"/>
    </row>
    <row r="612">
      <c r="A612" s="6" t="n"/>
      <c r="B612" s="6" t="n"/>
      <c r="C612" s="6" t="n"/>
      <c r="D612" s="6" t="n"/>
      <c r="E612" s="9" t="n"/>
      <c r="F612" s="41"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c r="AA612" s="6" t="n"/>
      <c r="AB612" s="6" t="n"/>
    </row>
    <row r="613">
      <c r="A613" s="6" t="n"/>
      <c r="B613" s="6" t="n"/>
      <c r="C613" s="6" t="n"/>
      <c r="D613" s="6" t="n"/>
      <c r="E613" s="9" t="n"/>
      <c r="F613" s="41"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c r="AA613" s="6" t="n"/>
      <c r="AB613" s="6" t="n"/>
    </row>
    <row r="614">
      <c r="A614" s="6" t="n"/>
      <c r="B614" s="6" t="n"/>
      <c r="C614" s="6" t="n"/>
      <c r="D614" s="6" t="n"/>
      <c r="E614" s="9" t="n"/>
      <c r="F614" s="41"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c r="AA614" s="6" t="n"/>
      <c r="AB614" s="6" t="n"/>
    </row>
    <row r="615">
      <c r="A615" s="6" t="n"/>
      <c r="B615" s="6" t="n"/>
      <c r="C615" s="6" t="n"/>
      <c r="D615" s="6" t="n"/>
      <c r="E615" s="9" t="n"/>
      <c r="F615" s="41"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c r="AA615" s="6" t="n"/>
      <c r="AB615" s="6" t="n"/>
    </row>
    <row r="616">
      <c r="A616" s="6" t="n"/>
      <c r="B616" s="6" t="n"/>
      <c r="C616" s="6" t="n"/>
      <c r="D616" s="6" t="n"/>
      <c r="E616" s="9" t="n"/>
      <c r="F616" s="41"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c r="AA616" s="6" t="n"/>
      <c r="AB616" s="6" t="n"/>
    </row>
    <row r="617">
      <c r="A617" s="6" t="n"/>
      <c r="B617" s="6" t="n"/>
      <c r="C617" s="6" t="n"/>
      <c r="D617" s="6" t="n"/>
      <c r="E617" s="9" t="n"/>
      <c r="F617" s="41"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c r="AA617" s="6" t="n"/>
      <c r="AB617" s="6" t="n"/>
    </row>
    <row r="618">
      <c r="A618" s="6" t="n"/>
      <c r="B618" s="6" t="n"/>
      <c r="C618" s="6" t="n"/>
      <c r="D618" s="6" t="n"/>
      <c r="E618" s="9" t="n"/>
      <c r="F618" s="41"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c r="AA618" s="6" t="n"/>
      <c r="AB618" s="6" t="n"/>
    </row>
    <row r="619">
      <c r="A619" s="6" t="n"/>
      <c r="B619" s="6" t="n"/>
      <c r="C619" s="6" t="n"/>
      <c r="D619" s="6" t="n"/>
      <c r="E619" s="9" t="n"/>
      <c r="F619" s="41"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c r="AA619" s="6" t="n"/>
      <c r="AB619" s="6" t="n"/>
    </row>
    <row r="620">
      <c r="A620" s="6" t="n"/>
      <c r="B620" s="6" t="n"/>
      <c r="C620" s="6" t="n"/>
      <c r="D620" s="6" t="n"/>
      <c r="E620" s="9" t="n"/>
      <c r="F620" s="41"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c r="AA620" s="6" t="n"/>
      <c r="AB620" s="6" t="n"/>
    </row>
    <row r="621">
      <c r="A621" s="6" t="n"/>
      <c r="B621" s="6" t="n"/>
      <c r="C621" s="6" t="n"/>
      <c r="D621" s="6" t="n"/>
      <c r="E621" s="9" t="n"/>
      <c r="F621" s="41"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c r="AA621" s="6" t="n"/>
      <c r="AB621" s="6" t="n"/>
    </row>
    <row r="622">
      <c r="A622" s="6" t="n"/>
      <c r="B622" s="6" t="n"/>
      <c r="C622" s="6" t="n"/>
      <c r="D622" s="6" t="n"/>
      <c r="E622" s="9" t="n"/>
      <c r="F622" s="41"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c r="AA622" s="6" t="n"/>
      <c r="AB622" s="6" t="n"/>
    </row>
    <row r="623">
      <c r="A623" s="6" t="n"/>
      <c r="B623" s="6" t="n"/>
      <c r="C623" s="6" t="n"/>
      <c r="D623" s="6" t="n"/>
      <c r="E623" s="9" t="n"/>
      <c r="F623" s="41"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c r="AA623" s="6" t="n"/>
      <c r="AB623" s="6" t="n"/>
    </row>
    <row r="624">
      <c r="A624" s="6" t="n"/>
      <c r="B624" s="6" t="n"/>
      <c r="C624" s="6" t="n"/>
      <c r="D624" s="6" t="n"/>
      <c r="E624" s="9" t="n"/>
      <c r="F624" s="41"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c r="AA624" s="6" t="n"/>
      <c r="AB624" s="6" t="n"/>
    </row>
    <row r="625">
      <c r="A625" s="6" t="n"/>
      <c r="B625" s="6" t="n"/>
      <c r="C625" s="6" t="n"/>
      <c r="D625" s="6" t="n"/>
      <c r="E625" s="9" t="n"/>
      <c r="F625" s="41"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c r="AA625" s="6" t="n"/>
      <c r="AB625" s="6" t="n"/>
    </row>
    <row r="626">
      <c r="A626" s="6" t="n"/>
      <c r="B626" s="6" t="n"/>
      <c r="C626" s="6" t="n"/>
      <c r="D626" s="6" t="n"/>
      <c r="E626" s="9" t="n"/>
      <c r="F626" s="41"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c r="AA626" s="6" t="n"/>
      <c r="AB626" s="6" t="n"/>
    </row>
    <row r="627">
      <c r="A627" s="6" t="n"/>
      <c r="B627" s="6" t="n"/>
      <c r="C627" s="6" t="n"/>
      <c r="D627" s="6" t="n"/>
      <c r="E627" s="9" t="n"/>
      <c r="F627" s="41"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c r="AA627" s="6" t="n"/>
      <c r="AB627" s="6" t="n"/>
    </row>
    <row r="628">
      <c r="A628" s="6" t="n"/>
      <c r="B628" s="6" t="n"/>
      <c r="C628" s="6" t="n"/>
      <c r="D628" s="6" t="n"/>
      <c r="E628" s="9" t="n"/>
      <c r="F628" s="41"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c r="AA628" s="6" t="n"/>
      <c r="AB628" s="6" t="n"/>
    </row>
    <row r="629">
      <c r="A629" s="6" t="n"/>
      <c r="B629" s="6" t="n"/>
      <c r="C629" s="6" t="n"/>
      <c r="D629" s="6" t="n"/>
      <c r="E629" s="9" t="n"/>
      <c r="F629" s="41"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c r="AA629" s="6" t="n"/>
      <c r="AB629" s="6" t="n"/>
    </row>
    <row r="630">
      <c r="A630" s="6" t="n"/>
      <c r="B630" s="6" t="n"/>
      <c r="C630" s="6" t="n"/>
      <c r="D630" s="6" t="n"/>
      <c r="E630" s="9" t="n"/>
      <c r="F630" s="41"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c r="AA630" s="6" t="n"/>
      <c r="AB630" s="6" t="n"/>
    </row>
    <row r="631">
      <c r="A631" s="6" t="n"/>
      <c r="B631" s="6" t="n"/>
      <c r="C631" s="6" t="n"/>
      <c r="D631" s="6" t="n"/>
      <c r="E631" s="9" t="n"/>
      <c r="F631" s="41"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c r="AA631" s="6" t="n"/>
      <c r="AB631" s="6" t="n"/>
    </row>
    <row r="632">
      <c r="A632" s="6" t="n"/>
      <c r="B632" s="6" t="n"/>
      <c r="C632" s="6" t="n"/>
      <c r="D632" s="6" t="n"/>
      <c r="E632" s="9" t="n"/>
      <c r="F632" s="41"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c r="AA632" s="6" t="n"/>
      <c r="AB632" s="6" t="n"/>
    </row>
    <row r="633">
      <c r="A633" s="6" t="n"/>
      <c r="B633" s="6" t="n"/>
      <c r="C633" s="6" t="n"/>
      <c r="D633" s="6" t="n"/>
      <c r="E633" s="9" t="n"/>
      <c r="F633" s="41"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c r="AA633" s="6" t="n"/>
      <c r="AB633" s="6" t="n"/>
    </row>
    <row r="634">
      <c r="A634" s="6" t="n"/>
      <c r="B634" s="6" t="n"/>
      <c r="C634" s="6" t="n"/>
      <c r="D634" s="6" t="n"/>
      <c r="E634" s="9" t="n"/>
      <c r="F634" s="41"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c r="AA634" s="6" t="n"/>
      <c r="AB634" s="6" t="n"/>
    </row>
    <row r="635">
      <c r="A635" s="6" t="n"/>
      <c r="B635" s="6" t="n"/>
      <c r="C635" s="6" t="n"/>
      <c r="D635" s="6" t="n"/>
      <c r="E635" s="9" t="n"/>
      <c r="F635" s="41"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c r="AA635" s="6" t="n"/>
      <c r="AB635" s="6" t="n"/>
    </row>
    <row r="636">
      <c r="A636" s="6" t="n"/>
      <c r="B636" s="6" t="n"/>
      <c r="C636" s="6" t="n"/>
      <c r="D636" s="6" t="n"/>
      <c r="E636" s="9" t="n"/>
      <c r="F636" s="41"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c r="AA636" s="6" t="n"/>
      <c r="AB636" s="6" t="n"/>
    </row>
    <row r="637">
      <c r="A637" s="6" t="n"/>
      <c r="B637" s="6" t="n"/>
      <c r="C637" s="6" t="n"/>
      <c r="D637" s="6" t="n"/>
      <c r="E637" s="9" t="n"/>
      <c r="F637" s="41"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c r="AA637" s="6" t="n"/>
      <c r="AB637" s="6" t="n"/>
    </row>
    <row r="638">
      <c r="A638" s="6" t="n"/>
      <c r="B638" s="6" t="n"/>
      <c r="C638" s="6" t="n"/>
      <c r="D638" s="6" t="n"/>
      <c r="E638" s="9" t="n"/>
      <c r="F638" s="41"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c r="AA638" s="6" t="n"/>
      <c r="AB638" s="6" t="n"/>
    </row>
    <row r="639">
      <c r="A639" s="6" t="n"/>
      <c r="B639" s="6" t="n"/>
      <c r="C639" s="6" t="n"/>
      <c r="D639" s="6" t="n"/>
      <c r="E639" s="9" t="n"/>
      <c r="F639" s="41"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c r="AA639" s="6" t="n"/>
      <c r="AB639" s="6" t="n"/>
    </row>
    <row r="640">
      <c r="A640" s="6" t="n"/>
      <c r="B640" s="6" t="n"/>
      <c r="C640" s="6" t="n"/>
      <c r="D640" s="6" t="n"/>
      <c r="E640" s="9" t="n"/>
      <c r="F640" s="41"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c r="AA640" s="6" t="n"/>
      <c r="AB640" s="6" t="n"/>
    </row>
    <row r="641">
      <c r="A641" s="6" t="n"/>
      <c r="B641" s="6" t="n"/>
      <c r="C641" s="6" t="n"/>
      <c r="D641" s="6" t="n"/>
      <c r="E641" s="9" t="n"/>
      <c r="F641" s="41"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c r="AA641" s="6" t="n"/>
      <c r="AB641" s="6" t="n"/>
    </row>
    <row r="642">
      <c r="A642" s="6" t="n"/>
      <c r="B642" s="6" t="n"/>
      <c r="C642" s="6" t="n"/>
      <c r="D642" s="6" t="n"/>
      <c r="E642" s="9" t="n"/>
      <c r="F642" s="41"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c r="AA642" s="6" t="n"/>
      <c r="AB642" s="6" t="n"/>
    </row>
    <row r="643">
      <c r="A643" s="6" t="n"/>
      <c r="B643" s="6" t="n"/>
      <c r="C643" s="6" t="n"/>
      <c r="D643" s="6" t="n"/>
      <c r="E643" s="9" t="n"/>
      <c r="F643" s="41"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c r="AA643" s="6" t="n"/>
      <c r="AB643" s="6" t="n"/>
    </row>
    <row r="644">
      <c r="A644" s="6" t="n"/>
      <c r="B644" s="6" t="n"/>
      <c r="C644" s="6" t="n"/>
      <c r="D644" s="6" t="n"/>
      <c r="E644" s="9" t="n"/>
      <c r="F644" s="41"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c r="AA644" s="6" t="n"/>
      <c r="AB644" s="6" t="n"/>
    </row>
    <row r="645">
      <c r="A645" s="6" t="n"/>
      <c r="B645" s="6" t="n"/>
      <c r="C645" s="6" t="n"/>
      <c r="D645" s="6" t="n"/>
      <c r="E645" s="9" t="n"/>
      <c r="F645" s="41"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c r="AA645" s="6" t="n"/>
      <c r="AB645" s="6" t="n"/>
    </row>
    <row r="646">
      <c r="A646" s="6" t="n"/>
      <c r="B646" s="6" t="n"/>
      <c r="C646" s="6" t="n"/>
      <c r="D646" s="6" t="n"/>
      <c r="E646" s="9" t="n"/>
      <c r="F646" s="41"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c r="AA646" s="6" t="n"/>
      <c r="AB646" s="6" t="n"/>
    </row>
    <row r="647">
      <c r="A647" s="6" t="n"/>
      <c r="B647" s="6" t="n"/>
      <c r="C647" s="6" t="n"/>
      <c r="D647" s="6" t="n"/>
      <c r="E647" s="9" t="n"/>
      <c r="F647" s="41"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c r="AA647" s="6" t="n"/>
      <c r="AB647" s="6" t="n"/>
    </row>
    <row r="648">
      <c r="A648" s="6" t="n"/>
      <c r="B648" s="6" t="n"/>
      <c r="C648" s="6" t="n"/>
      <c r="D648" s="6" t="n"/>
      <c r="E648" s="9" t="n"/>
      <c r="F648" s="41"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c r="AA648" s="6" t="n"/>
      <c r="AB648" s="6" t="n"/>
    </row>
    <row r="649">
      <c r="A649" s="6" t="n"/>
      <c r="B649" s="6" t="n"/>
      <c r="C649" s="6" t="n"/>
      <c r="D649" s="6" t="n"/>
      <c r="E649" s="9" t="n"/>
      <c r="F649" s="41"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c r="AA649" s="6" t="n"/>
      <c r="AB649" s="6" t="n"/>
    </row>
    <row r="650">
      <c r="A650" s="6" t="n"/>
      <c r="B650" s="6" t="n"/>
      <c r="C650" s="6" t="n"/>
      <c r="D650" s="6" t="n"/>
      <c r="E650" s="9" t="n"/>
      <c r="F650" s="41"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c r="AA650" s="6" t="n"/>
      <c r="AB650" s="6" t="n"/>
    </row>
    <row r="651">
      <c r="A651" s="6" t="n"/>
      <c r="B651" s="6" t="n"/>
      <c r="C651" s="6" t="n"/>
      <c r="D651" s="6" t="n"/>
      <c r="E651" s="9" t="n"/>
      <c r="F651" s="41"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c r="AA651" s="6" t="n"/>
      <c r="AB651" s="6" t="n"/>
    </row>
    <row r="652">
      <c r="A652" s="6" t="n"/>
      <c r="B652" s="6" t="n"/>
      <c r="C652" s="6" t="n"/>
      <c r="D652" s="6" t="n"/>
      <c r="E652" s="9" t="n"/>
      <c r="F652" s="41"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c r="AA652" s="6" t="n"/>
      <c r="AB652" s="6" t="n"/>
    </row>
    <row r="653">
      <c r="A653" s="6" t="n"/>
      <c r="B653" s="6" t="n"/>
      <c r="C653" s="6" t="n"/>
      <c r="D653" s="6" t="n"/>
      <c r="E653" s="9" t="n"/>
      <c r="F653" s="41"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c r="AA653" s="6" t="n"/>
      <c r="AB653" s="6" t="n"/>
    </row>
    <row r="654">
      <c r="A654" s="6" t="n"/>
      <c r="B654" s="6" t="n"/>
      <c r="C654" s="6" t="n"/>
      <c r="D654" s="6" t="n"/>
      <c r="E654" s="9" t="n"/>
      <c r="F654" s="41"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c r="AA654" s="6" t="n"/>
      <c r="AB654" s="6" t="n"/>
    </row>
    <row r="655">
      <c r="A655" s="6" t="n"/>
      <c r="B655" s="6" t="n"/>
      <c r="C655" s="6" t="n"/>
      <c r="D655" s="6" t="n"/>
      <c r="E655" s="9" t="n"/>
      <c r="F655" s="41"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c r="AA655" s="6" t="n"/>
      <c r="AB655" s="6" t="n"/>
    </row>
    <row r="656">
      <c r="A656" s="6" t="n"/>
      <c r="B656" s="6" t="n"/>
      <c r="C656" s="6" t="n"/>
      <c r="D656" s="6" t="n"/>
      <c r="E656" s="9" t="n"/>
      <c r="F656" s="41"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c r="AA656" s="6" t="n"/>
      <c r="AB656" s="6" t="n"/>
    </row>
    <row r="657">
      <c r="A657" s="6" t="n"/>
      <c r="B657" s="6" t="n"/>
      <c r="C657" s="6" t="n"/>
      <c r="D657" s="6" t="n"/>
      <c r="E657" s="9" t="n"/>
      <c r="F657" s="41"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c r="AA657" s="6" t="n"/>
      <c r="AB657" s="6" t="n"/>
    </row>
    <row r="658">
      <c r="A658" s="6" t="n"/>
      <c r="B658" s="6" t="n"/>
      <c r="C658" s="6" t="n"/>
      <c r="D658" s="6" t="n"/>
      <c r="E658" s="9" t="n"/>
      <c r="F658" s="41"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c r="AA658" s="6" t="n"/>
      <c r="AB658" s="6" t="n"/>
    </row>
    <row r="659">
      <c r="A659" s="6" t="n"/>
      <c r="B659" s="6" t="n"/>
      <c r="C659" s="6" t="n"/>
      <c r="D659" s="6" t="n"/>
      <c r="E659" s="9" t="n"/>
      <c r="F659" s="41"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c r="AA659" s="6" t="n"/>
      <c r="AB659" s="6" t="n"/>
    </row>
    <row r="660">
      <c r="A660" s="6" t="n"/>
      <c r="B660" s="6" t="n"/>
      <c r="C660" s="6" t="n"/>
      <c r="D660" s="6" t="n"/>
      <c r="E660" s="9" t="n"/>
      <c r="F660" s="41"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c r="AA660" s="6" t="n"/>
      <c r="AB660" s="6" t="n"/>
    </row>
    <row r="661">
      <c r="A661" s="6" t="n"/>
      <c r="B661" s="6" t="n"/>
      <c r="C661" s="6" t="n"/>
      <c r="D661" s="6" t="n"/>
      <c r="E661" s="9" t="n"/>
      <c r="F661" s="41"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c r="AA661" s="6" t="n"/>
      <c r="AB661" s="6" t="n"/>
    </row>
    <row r="662">
      <c r="A662" s="6" t="n"/>
      <c r="B662" s="6" t="n"/>
      <c r="C662" s="6" t="n"/>
      <c r="D662" s="6" t="n"/>
      <c r="E662" s="9" t="n"/>
      <c r="F662" s="41"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c r="AA662" s="6" t="n"/>
      <c r="AB662" s="6" t="n"/>
    </row>
    <row r="663">
      <c r="A663" s="6" t="n"/>
      <c r="B663" s="6" t="n"/>
      <c r="C663" s="6" t="n"/>
      <c r="D663" s="6" t="n"/>
      <c r="E663" s="9" t="n"/>
      <c r="F663" s="41"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c r="AA663" s="6" t="n"/>
      <c r="AB663" s="6" t="n"/>
    </row>
    <row r="664">
      <c r="A664" s="6" t="n"/>
      <c r="B664" s="6" t="n"/>
      <c r="C664" s="6" t="n"/>
      <c r="D664" s="6" t="n"/>
      <c r="E664" s="9" t="n"/>
      <c r="F664" s="41"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c r="AA664" s="6" t="n"/>
      <c r="AB664" s="6" t="n"/>
    </row>
    <row r="665">
      <c r="A665" s="6" t="n"/>
      <c r="B665" s="6" t="n"/>
      <c r="C665" s="6" t="n"/>
      <c r="D665" s="6" t="n"/>
      <c r="E665" s="9" t="n"/>
      <c r="F665" s="41"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c r="AA665" s="6" t="n"/>
      <c r="AB665" s="6" t="n"/>
    </row>
    <row r="666">
      <c r="A666" s="6" t="n"/>
      <c r="B666" s="6" t="n"/>
      <c r="C666" s="6" t="n"/>
      <c r="D666" s="6" t="n"/>
      <c r="E666" s="9" t="n"/>
      <c r="F666" s="41"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c r="AA666" s="6" t="n"/>
      <c r="AB666" s="6" t="n"/>
    </row>
    <row r="667">
      <c r="A667" s="6" t="n"/>
      <c r="B667" s="6" t="n"/>
      <c r="C667" s="6" t="n"/>
      <c r="D667" s="6" t="n"/>
      <c r="E667" s="9" t="n"/>
      <c r="F667" s="41"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c r="AA667" s="6" t="n"/>
      <c r="AB667" s="6" t="n"/>
    </row>
    <row r="668">
      <c r="A668" s="6" t="n"/>
      <c r="B668" s="6" t="n"/>
      <c r="C668" s="6" t="n"/>
      <c r="D668" s="6" t="n"/>
      <c r="E668" s="9" t="n"/>
      <c r="F668" s="41"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c r="AA668" s="6" t="n"/>
      <c r="AB668" s="6" t="n"/>
    </row>
    <row r="669">
      <c r="A669" s="6" t="n"/>
      <c r="B669" s="6" t="n"/>
      <c r="C669" s="6" t="n"/>
      <c r="D669" s="6" t="n"/>
      <c r="E669" s="9" t="n"/>
      <c r="F669" s="41"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c r="AA669" s="6" t="n"/>
      <c r="AB669" s="6" t="n"/>
    </row>
    <row r="670">
      <c r="A670" s="6" t="n"/>
      <c r="B670" s="6" t="n"/>
      <c r="C670" s="6" t="n"/>
      <c r="D670" s="6" t="n"/>
      <c r="E670" s="9" t="n"/>
      <c r="F670" s="41"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c r="AA670" s="6" t="n"/>
      <c r="AB670" s="6" t="n"/>
    </row>
    <row r="671">
      <c r="A671" s="6" t="n"/>
      <c r="B671" s="6" t="n"/>
      <c r="C671" s="6" t="n"/>
      <c r="D671" s="6" t="n"/>
      <c r="E671" s="9" t="n"/>
      <c r="F671" s="41"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c r="AA671" s="6" t="n"/>
      <c r="AB671" s="6" t="n"/>
    </row>
    <row r="672">
      <c r="A672" s="6" t="n"/>
      <c r="B672" s="6" t="n"/>
      <c r="C672" s="6" t="n"/>
      <c r="D672" s="6" t="n"/>
      <c r="E672" s="9" t="n"/>
      <c r="F672" s="41"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c r="AA672" s="6" t="n"/>
      <c r="AB672" s="6" t="n"/>
    </row>
    <row r="673">
      <c r="A673" s="6" t="n"/>
      <c r="B673" s="6" t="n"/>
      <c r="C673" s="6" t="n"/>
      <c r="D673" s="6" t="n"/>
      <c r="E673" s="9" t="n"/>
      <c r="F673" s="41"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c r="AA673" s="6" t="n"/>
      <c r="AB673" s="6" t="n"/>
    </row>
    <row r="674">
      <c r="A674" s="6" t="n"/>
      <c r="B674" s="6" t="n"/>
      <c r="C674" s="6" t="n"/>
      <c r="D674" s="6" t="n"/>
      <c r="E674" s="9" t="n"/>
      <c r="F674" s="41"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c r="AA674" s="6" t="n"/>
      <c r="AB674" s="6" t="n"/>
    </row>
    <row r="675">
      <c r="A675" s="6" t="n"/>
      <c r="B675" s="6" t="n"/>
      <c r="C675" s="6" t="n"/>
      <c r="D675" s="6" t="n"/>
      <c r="E675" s="9" t="n"/>
      <c r="F675" s="41"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c r="AA675" s="6" t="n"/>
      <c r="AB675" s="6" t="n"/>
    </row>
    <row r="676">
      <c r="A676" s="6" t="n"/>
      <c r="B676" s="6" t="n"/>
      <c r="C676" s="6" t="n"/>
      <c r="D676" s="6" t="n"/>
      <c r="E676" s="9" t="n"/>
      <c r="F676" s="41"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c r="AA676" s="6" t="n"/>
      <c r="AB676" s="6" t="n"/>
    </row>
    <row r="677">
      <c r="A677" s="6" t="n"/>
      <c r="B677" s="6" t="n"/>
      <c r="C677" s="6" t="n"/>
      <c r="D677" s="6" t="n"/>
      <c r="E677" s="9" t="n"/>
      <c r="F677" s="41"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c r="AA677" s="6" t="n"/>
      <c r="AB677" s="6" t="n"/>
    </row>
    <row r="678">
      <c r="A678" s="6" t="n"/>
      <c r="B678" s="6" t="n"/>
      <c r="C678" s="6" t="n"/>
      <c r="D678" s="6" t="n"/>
      <c r="E678" s="9" t="n"/>
      <c r="F678" s="41"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c r="AA678" s="6" t="n"/>
      <c r="AB678" s="6" t="n"/>
    </row>
    <row r="679">
      <c r="A679" s="6" t="n"/>
      <c r="B679" s="6" t="n"/>
      <c r="C679" s="6" t="n"/>
      <c r="D679" s="6" t="n"/>
      <c r="E679" s="9" t="n"/>
      <c r="F679" s="41"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c r="AA679" s="6" t="n"/>
      <c r="AB679" s="6" t="n"/>
    </row>
    <row r="680">
      <c r="A680" s="6" t="n"/>
      <c r="B680" s="6" t="n"/>
      <c r="C680" s="6" t="n"/>
      <c r="D680" s="6" t="n"/>
      <c r="E680" s="9" t="n"/>
      <c r="F680" s="41"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c r="AA680" s="6" t="n"/>
      <c r="AB680" s="6" t="n"/>
    </row>
    <row r="681">
      <c r="A681" s="6" t="n"/>
      <c r="B681" s="6" t="n"/>
      <c r="C681" s="6" t="n"/>
      <c r="D681" s="6" t="n"/>
      <c r="E681" s="9" t="n"/>
      <c r="F681" s="41"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c r="AA681" s="6" t="n"/>
      <c r="AB681" s="6" t="n"/>
    </row>
    <row r="682">
      <c r="A682" s="6" t="n"/>
      <c r="B682" s="6" t="n"/>
      <c r="C682" s="6" t="n"/>
      <c r="D682" s="6" t="n"/>
      <c r="E682" s="9" t="n"/>
      <c r="F682" s="41"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c r="AA682" s="6" t="n"/>
      <c r="AB682" s="6" t="n"/>
    </row>
    <row r="683">
      <c r="A683" s="6" t="n"/>
      <c r="B683" s="6" t="n"/>
      <c r="C683" s="6" t="n"/>
      <c r="D683" s="6" t="n"/>
      <c r="E683" s="9" t="n"/>
      <c r="F683" s="41"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c r="AA683" s="6" t="n"/>
      <c r="AB683" s="6" t="n"/>
    </row>
    <row r="684">
      <c r="A684" s="6" t="n"/>
      <c r="B684" s="6" t="n"/>
      <c r="C684" s="6" t="n"/>
      <c r="D684" s="6" t="n"/>
      <c r="E684" s="9" t="n"/>
      <c r="F684" s="41"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c r="AA684" s="6" t="n"/>
      <c r="AB684" s="6" t="n"/>
    </row>
    <row r="685">
      <c r="A685" s="6" t="n"/>
      <c r="B685" s="6" t="n"/>
      <c r="C685" s="6" t="n"/>
      <c r="D685" s="6" t="n"/>
      <c r="E685" s="9" t="n"/>
      <c r="F685" s="41"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c r="AA685" s="6" t="n"/>
      <c r="AB685" s="6" t="n"/>
    </row>
    <row r="686">
      <c r="A686" s="6" t="n"/>
      <c r="B686" s="6" t="n"/>
      <c r="C686" s="6" t="n"/>
      <c r="D686" s="6" t="n"/>
      <c r="E686" s="9" t="n"/>
      <c r="F686" s="41"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c r="AA686" s="6" t="n"/>
      <c r="AB686" s="6" t="n"/>
    </row>
    <row r="687">
      <c r="A687" s="6" t="n"/>
      <c r="B687" s="6" t="n"/>
      <c r="C687" s="6" t="n"/>
      <c r="D687" s="6" t="n"/>
      <c r="E687" s="9" t="n"/>
      <c r="F687" s="41"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c r="AA687" s="6" t="n"/>
      <c r="AB687" s="6" t="n"/>
    </row>
    <row r="688">
      <c r="A688" s="6" t="n"/>
      <c r="B688" s="6" t="n"/>
      <c r="C688" s="6" t="n"/>
      <c r="D688" s="6" t="n"/>
      <c r="E688" s="9" t="n"/>
      <c r="F688" s="41"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c r="AA688" s="6" t="n"/>
      <c r="AB688" s="6" t="n"/>
    </row>
    <row r="689">
      <c r="A689" s="6" t="n"/>
      <c r="B689" s="6" t="n"/>
      <c r="C689" s="6" t="n"/>
      <c r="D689" s="6" t="n"/>
      <c r="E689" s="9" t="n"/>
      <c r="F689" s="41"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c r="AA689" s="6" t="n"/>
      <c r="AB689" s="6" t="n"/>
    </row>
    <row r="690">
      <c r="A690" s="6" t="n"/>
      <c r="B690" s="6" t="n"/>
      <c r="C690" s="6" t="n"/>
      <c r="D690" s="6" t="n"/>
      <c r="E690" s="9" t="n"/>
      <c r="F690" s="41"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c r="AA690" s="6" t="n"/>
      <c r="AB690" s="6" t="n"/>
    </row>
    <row r="691">
      <c r="A691" s="6" t="n"/>
      <c r="B691" s="6" t="n"/>
      <c r="C691" s="6" t="n"/>
      <c r="D691" s="6" t="n"/>
      <c r="E691" s="9" t="n"/>
      <c r="F691" s="41"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c r="AA691" s="6" t="n"/>
      <c r="AB691" s="6" t="n"/>
    </row>
    <row r="692">
      <c r="A692" s="6" t="n"/>
      <c r="B692" s="6" t="n"/>
      <c r="C692" s="6" t="n"/>
      <c r="D692" s="6" t="n"/>
      <c r="E692" s="9" t="n"/>
      <c r="F692" s="41"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c r="AA692" s="6" t="n"/>
      <c r="AB692" s="6" t="n"/>
    </row>
    <row r="693">
      <c r="A693" s="6" t="n"/>
      <c r="B693" s="6" t="n"/>
      <c r="C693" s="6" t="n"/>
      <c r="D693" s="6" t="n"/>
      <c r="E693" s="9" t="n"/>
      <c r="F693" s="41"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c r="AA693" s="6" t="n"/>
      <c r="AB693" s="6" t="n"/>
    </row>
    <row r="694">
      <c r="A694" s="6" t="n"/>
      <c r="B694" s="6" t="n"/>
      <c r="C694" s="6" t="n"/>
      <c r="D694" s="6" t="n"/>
      <c r="E694" s="9" t="n"/>
      <c r="F694" s="41"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c r="AA694" s="6" t="n"/>
      <c r="AB694" s="6" t="n"/>
    </row>
    <row r="695">
      <c r="A695" s="6" t="n"/>
      <c r="B695" s="6" t="n"/>
      <c r="C695" s="6" t="n"/>
      <c r="D695" s="6" t="n"/>
      <c r="E695" s="9" t="n"/>
      <c r="F695" s="41"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c r="AA695" s="6" t="n"/>
      <c r="AB695" s="6" t="n"/>
    </row>
    <row r="696">
      <c r="A696" s="6" t="n"/>
      <c r="B696" s="6" t="n"/>
      <c r="C696" s="6" t="n"/>
      <c r="D696" s="6" t="n"/>
      <c r="E696" s="9" t="n"/>
      <c r="F696" s="41"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c r="AA696" s="6" t="n"/>
      <c r="AB696" s="6" t="n"/>
    </row>
    <row r="697">
      <c r="A697" s="6" t="n"/>
      <c r="B697" s="6" t="n"/>
      <c r="C697" s="6" t="n"/>
      <c r="D697" s="6" t="n"/>
      <c r="E697" s="9" t="n"/>
      <c r="F697" s="41"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c r="AA697" s="6" t="n"/>
      <c r="AB697" s="6" t="n"/>
    </row>
    <row r="698">
      <c r="A698" s="6" t="n"/>
      <c r="B698" s="6" t="n"/>
      <c r="C698" s="6" t="n"/>
      <c r="D698" s="6" t="n"/>
      <c r="E698" s="9" t="n"/>
      <c r="F698" s="41"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c r="AA698" s="6" t="n"/>
      <c r="AB698" s="6" t="n"/>
    </row>
    <row r="699">
      <c r="A699" s="6" t="n"/>
      <c r="B699" s="6" t="n"/>
      <c r="C699" s="6" t="n"/>
      <c r="D699" s="6" t="n"/>
      <c r="E699" s="9" t="n"/>
      <c r="F699" s="41"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c r="AA699" s="6" t="n"/>
      <c r="AB699" s="6" t="n"/>
    </row>
    <row r="700">
      <c r="A700" s="6" t="n"/>
      <c r="B700" s="6" t="n"/>
      <c r="C700" s="6" t="n"/>
      <c r="D700" s="6" t="n"/>
      <c r="E700" s="9" t="n"/>
      <c r="F700" s="41"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c r="AA700" s="6" t="n"/>
      <c r="AB700" s="6" t="n"/>
    </row>
    <row r="701">
      <c r="A701" s="6" t="n"/>
      <c r="B701" s="6" t="n"/>
      <c r="C701" s="6" t="n"/>
      <c r="D701" s="6" t="n"/>
      <c r="E701" s="9" t="n"/>
      <c r="F701" s="41"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c r="AA701" s="6" t="n"/>
      <c r="AB701" s="6" t="n"/>
    </row>
    <row r="702">
      <c r="A702" s="6" t="n"/>
      <c r="B702" s="6" t="n"/>
      <c r="C702" s="6" t="n"/>
      <c r="D702" s="6" t="n"/>
      <c r="E702" s="9" t="n"/>
      <c r="F702" s="41"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c r="AA702" s="6" t="n"/>
      <c r="AB702" s="6" t="n"/>
    </row>
    <row r="703">
      <c r="A703" s="6" t="n"/>
      <c r="B703" s="6" t="n"/>
      <c r="C703" s="6" t="n"/>
      <c r="D703" s="6" t="n"/>
      <c r="E703" s="9" t="n"/>
      <c r="F703" s="41"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c r="AA703" s="6" t="n"/>
      <c r="AB703" s="6" t="n"/>
    </row>
    <row r="704">
      <c r="A704" s="6" t="n"/>
      <c r="B704" s="6" t="n"/>
      <c r="C704" s="6" t="n"/>
      <c r="D704" s="6" t="n"/>
      <c r="E704" s="9" t="n"/>
      <c r="F704" s="41"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c r="AA704" s="6" t="n"/>
      <c r="AB704" s="6" t="n"/>
    </row>
    <row r="705">
      <c r="A705" s="6" t="n"/>
      <c r="B705" s="6" t="n"/>
      <c r="C705" s="6" t="n"/>
      <c r="D705" s="6" t="n"/>
      <c r="E705" s="9" t="n"/>
      <c r="F705" s="41"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c r="AA705" s="6" t="n"/>
      <c r="AB705" s="6" t="n"/>
    </row>
    <row r="706">
      <c r="A706" s="6" t="n"/>
      <c r="B706" s="6" t="n"/>
      <c r="C706" s="6" t="n"/>
      <c r="D706" s="6" t="n"/>
      <c r="E706" s="9" t="n"/>
      <c r="F706" s="41"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c r="AA706" s="6" t="n"/>
      <c r="AB706" s="6" t="n"/>
    </row>
    <row r="707">
      <c r="A707" s="6" t="n"/>
      <c r="B707" s="6" t="n"/>
      <c r="C707" s="6" t="n"/>
      <c r="D707" s="6" t="n"/>
      <c r="E707" s="9" t="n"/>
      <c r="F707" s="41"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c r="AA707" s="6" t="n"/>
      <c r="AB707" s="6" t="n"/>
    </row>
    <row r="708">
      <c r="A708" s="6" t="n"/>
      <c r="B708" s="6" t="n"/>
      <c r="C708" s="6" t="n"/>
      <c r="D708" s="6" t="n"/>
      <c r="E708" s="9" t="n"/>
      <c r="F708" s="41"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c r="AA708" s="6" t="n"/>
      <c r="AB708" s="6" t="n"/>
    </row>
    <row r="709">
      <c r="A709" s="6" t="n"/>
      <c r="B709" s="6" t="n"/>
      <c r="C709" s="6" t="n"/>
      <c r="D709" s="6" t="n"/>
      <c r="E709" s="9" t="n"/>
      <c r="F709" s="41"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c r="AA709" s="6" t="n"/>
      <c r="AB709" s="6" t="n"/>
    </row>
    <row r="710">
      <c r="A710" s="6" t="n"/>
      <c r="B710" s="6" t="n"/>
      <c r="C710" s="6" t="n"/>
      <c r="D710" s="6" t="n"/>
      <c r="E710" s="9" t="n"/>
      <c r="F710" s="41"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c r="AA710" s="6" t="n"/>
      <c r="AB710" s="6" t="n"/>
    </row>
    <row r="711">
      <c r="A711" s="6" t="n"/>
      <c r="B711" s="6" t="n"/>
      <c r="C711" s="6" t="n"/>
      <c r="D711" s="6" t="n"/>
      <c r="E711" s="9" t="n"/>
      <c r="F711" s="41"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c r="AA711" s="6" t="n"/>
      <c r="AB711" s="6" t="n"/>
    </row>
    <row r="712">
      <c r="A712" s="6" t="n"/>
      <c r="B712" s="6" t="n"/>
      <c r="C712" s="6" t="n"/>
      <c r="D712" s="6" t="n"/>
      <c r="E712" s="9" t="n"/>
      <c r="F712" s="41"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c r="AA712" s="6" t="n"/>
      <c r="AB712" s="6" t="n"/>
    </row>
    <row r="713">
      <c r="A713" s="6" t="n"/>
      <c r="B713" s="6" t="n"/>
      <c r="C713" s="6" t="n"/>
      <c r="D713" s="6" t="n"/>
      <c r="E713" s="9" t="n"/>
      <c r="F713" s="41"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c r="AA713" s="6" t="n"/>
      <c r="AB713" s="6" t="n"/>
    </row>
    <row r="714">
      <c r="A714" s="6" t="n"/>
      <c r="B714" s="6" t="n"/>
      <c r="C714" s="6" t="n"/>
      <c r="D714" s="6" t="n"/>
      <c r="E714" s="9" t="n"/>
      <c r="F714" s="41"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c r="AA714" s="6" t="n"/>
      <c r="AB714" s="6" t="n"/>
    </row>
    <row r="715">
      <c r="A715" s="6" t="n"/>
      <c r="B715" s="6" t="n"/>
      <c r="C715" s="6" t="n"/>
      <c r="D715" s="6" t="n"/>
      <c r="E715" s="9" t="n"/>
      <c r="F715" s="41"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c r="AA715" s="6" t="n"/>
      <c r="AB715" s="6" t="n"/>
    </row>
    <row r="716">
      <c r="A716" s="6" t="n"/>
      <c r="B716" s="6" t="n"/>
      <c r="C716" s="6" t="n"/>
      <c r="D716" s="6" t="n"/>
      <c r="E716" s="9" t="n"/>
      <c r="F716" s="41"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c r="AA716" s="6" t="n"/>
      <c r="AB716" s="6" t="n"/>
    </row>
    <row r="717">
      <c r="A717" s="6" t="n"/>
      <c r="B717" s="6" t="n"/>
      <c r="C717" s="6" t="n"/>
      <c r="D717" s="6" t="n"/>
      <c r="E717" s="9" t="n"/>
      <c r="F717" s="41"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c r="AA717" s="6" t="n"/>
      <c r="AB717" s="6" t="n"/>
    </row>
    <row r="718">
      <c r="A718" s="6" t="n"/>
      <c r="B718" s="6" t="n"/>
      <c r="C718" s="6" t="n"/>
      <c r="D718" s="6" t="n"/>
      <c r="E718" s="9" t="n"/>
      <c r="F718" s="41"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c r="AA718" s="6" t="n"/>
      <c r="AB718" s="6" t="n"/>
    </row>
    <row r="719">
      <c r="A719" s="6" t="n"/>
      <c r="B719" s="6" t="n"/>
      <c r="C719" s="6" t="n"/>
      <c r="D719" s="6" t="n"/>
      <c r="E719" s="9" t="n"/>
      <c r="F719" s="41"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c r="AA719" s="6" t="n"/>
      <c r="AB719" s="6" t="n"/>
    </row>
    <row r="720">
      <c r="A720" s="6" t="n"/>
      <c r="B720" s="6" t="n"/>
      <c r="C720" s="6" t="n"/>
      <c r="D720" s="6" t="n"/>
      <c r="E720" s="9" t="n"/>
      <c r="F720" s="41"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c r="AA720" s="6" t="n"/>
      <c r="AB720" s="6" t="n"/>
    </row>
    <row r="721">
      <c r="A721" s="6" t="n"/>
      <c r="B721" s="6" t="n"/>
      <c r="C721" s="6" t="n"/>
      <c r="D721" s="6" t="n"/>
      <c r="E721" s="9" t="n"/>
      <c r="F721" s="41"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c r="AA721" s="6" t="n"/>
      <c r="AB721" s="6" t="n"/>
    </row>
    <row r="722">
      <c r="A722" s="6" t="n"/>
      <c r="B722" s="6" t="n"/>
      <c r="C722" s="6" t="n"/>
      <c r="D722" s="6" t="n"/>
      <c r="E722" s="9" t="n"/>
      <c r="F722" s="41"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c r="AA722" s="6" t="n"/>
      <c r="AB722" s="6" t="n"/>
    </row>
    <row r="723">
      <c r="A723" s="6" t="n"/>
      <c r="B723" s="6" t="n"/>
      <c r="C723" s="6" t="n"/>
      <c r="D723" s="6" t="n"/>
      <c r="E723" s="9" t="n"/>
      <c r="F723" s="41"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c r="AA723" s="6" t="n"/>
      <c r="AB723" s="6" t="n"/>
    </row>
    <row r="724">
      <c r="A724" s="6" t="n"/>
      <c r="B724" s="6" t="n"/>
      <c r="C724" s="6" t="n"/>
      <c r="D724" s="6" t="n"/>
      <c r="E724" s="9" t="n"/>
      <c r="F724" s="41"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c r="AA724" s="6" t="n"/>
      <c r="AB724" s="6" t="n"/>
    </row>
    <row r="725">
      <c r="A725" s="6" t="n"/>
      <c r="B725" s="6" t="n"/>
      <c r="C725" s="6" t="n"/>
      <c r="D725" s="6" t="n"/>
      <c r="E725" s="9" t="n"/>
      <c r="F725" s="41"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c r="AA725" s="6" t="n"/>
      <c r="AB725" s="6" t="n"/>
    </row>
    <row r="726">
      <c r="A726" s="6" t="n"/>
      <c r="B726" s="6" t="n"/>
      <c r="C726" s="6" t="n"/>
      <c r="D726" s="6" t="n"/>
      <c r="E726" s="9" t="n"/>
      <c r="F726" s="41"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c r="AA726" s="6" t="n"/>
      <c r="AB726" s="6" t="n"/>
    </row>
    <row r="727">
      <c r="A727" s="6" t="n"/>
      <c r="B727" s="6" t="n"/>
      <c r="C727" s="6" t="n"/>
      <c r="D727" s="6" t="n"/>
      <c r="E727" s="9" t="n"/>
      <c r="F727" s="41"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c r="AA727" s="6" t="n"/>
      <c r="AB727" s="6" t="n"/>
    </row>
    <row r="728">
      <c r="A728" s="6" t="n"/>
      <c r="B728" s="6" t="n"/>
      <c r="C728" s="6" t="n"/>
      <c r="D728" s="6" t="n"/>
      <c r="E728" s="9" t="n"/>
      <c r="F728" s="41"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c r="AA728" s="6" t="n"/>
      <c r="AB728" s="6" t="n"/>
    </row>
    <row r="729">
      <c r="A729" s="6" t="n"/>
      <c r="B729" s="6" t="n"/>
      <c r="C729" s="6" t="n"/>
      <c r="D729" s="6" t="n"/>
      <c r="E729" s="9" t="n"/>
      <c r="F729" s="41"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c r="AA729" s="6" t="n"/>
      <c r="AB729" s="6" t="n"/>
    </row>
    <row r="730">
      <c r="A730" s="6" t="n"/>
      <c r="B730" s="6" t="n"/>
      <c r="C730" s="6" t="n"/>
      <c r="D730" s="6" t="n"/>
      <c r="E730" s="9" t="n"/>
      <c r="F730" s="41"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c r="AA730" s="6" t="n"/>
      <c r="AB730" s="6" t="n"/>
    </row>
    <row r="731">
      <c r="A731" s="6" t="n"/>
      <c r="B731" s="6" t="n"/>
      <c r="C731" s="6" t="n"/>
      <c r="D731" s="6" t="n"/>
      <c r="E731" s="9" t="n"/>
      <c r="F731" s="41"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c r="AA731" s="6" t="n"/>
      <c r="AB731" s="6" t="n"/>
    </row>
    <row r="732">
      <c r="A732" s="6" t="n"/>
      <c r="B732" s="6" t="n"/>
      <c r="C732" s="6" t="n"/>
      <c r="D732" s="6" t="n"/>
      <c r="E732" s="9" t="n"/>
      <c r="F732" s="41"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c r="AA732" s="6" t="n"/>
      <c r="AB732" s="6" t="n"/>
    </row>
    <row r="733">
      <c r="A733" s="6" t="n"/>
      <c r="B733" s="6" t="n"/>
      <c r="C733" s="6" t="n"/>
      <c r="D733" s="6" t="n"/>
      <c r="E733" s="9" t="n"/>
      <c r="F733" s="41"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c r="AA733" s="6" t="n"/>
      <c r="AB733" s="6" t="n"/>
    </row>
    <row r="734">
      <c r="A734" s="6" t="n"/>
      <c r="B734" s="6" t="n"/>
      <c r="C734" s="6" t="n"/>
      <c r="D734" s="6" t="n"/>
      <c r="E734" s="9" t="n"/>
      <c r="F734" s="41"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c r="AA734" s="6" t="n"/>
      <c r="AB734" s="6" t="n"/>
    </row>
    <row r="735">
      <c r="A735" s="6" t="n"/>
      <c r="B735" s="6" t="n"/>
      <c r="C735" s="6" t="n"/>
      <c r="D735" s="6" t="n"/>
      <c r="E735" s="9" t="n"/>
      <c r="F735" s="41"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c r="AA735" s="6" t="n"/>
      <c r="AB735" s="6" t="n"/>
    </row>
    <row r="736">
      <c r="A736" s="6" t="n"/>
      <c r="B736" s="6" t="n"/>
      <c r="C736" s="6" t="n"/>
      <c r="D736" s="6" t="n"/>
      <c r="E736" s="9" t="n"/>
      <c r="F736" s="41"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c r="AA736" s="6" t="n"/>
      <c r="AB736" s="6" t="n"/>
    </row>
    <row r="737">
      <c r="A737" s="6" t="n"/>
      <c r="B737" s="6" t="n"/>
      <c r="C737" s="6" t="n"/>
      <c r="D737" s="6" t="n"/>
      <c r="E737" s="9" t="n"/>
      <c r="F737" s="41"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c r="AA737" s="6" t="n"/>
      <c r="AB737" s="6" t="n"/>
    </row>
    <row r="738">
      <c r="A738" s="6" t="n"/>
      <c r="B738" s="6" t="n"/>
      <c r="C738" s="6" t="n"/>
      <c r="D738" s="6" t="n"/>
      <c r="E738" s="9" t="n"/>
      <c r="F738" s="41"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c r="AA738" s="6" t="n"/>
      <c r="AB738" s="6" t="n"/>
    </row>
    <row r="739">
      <c r="A739" s="6" t="n"/>
      <c r="B739" s="6" t="n"/>
      <c r="C739" s="6" t="n"/>
      <c r="D739" s="6" t="n"/>
      <c r="E739" s="9" t="n"/>
      <c r="F739" s="41"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c r="AA739" s="6" t="n"/>
      <c r="AB739" s="6" t="n"/>
    </row>
    <row r="740">
      <c r="A740" s="6" t="n"/>
      <c r="B740" s="6" t="n"/>
      <c r="C740" s="6" t="n"/>
      <c r="D740" s="6" t="n"/>
      <c r="E740" s="9" t="n"/>
      <c r="F740" s="41"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c r="AA740" s="6" t="n"/>
      <c r="AB740" s="6" t="n"/>
    </row>
    <row r="741">
      <c r="A741" s="6" t="n"/>
      <c r="B741" s="6" t="n"/>
      <c r="C741" s="6" t="n"/>
      <c r="D741" s="6" t="n"/>
      <c r="E741" s="9" t="n"/>
      <c r="F741" s="41"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c r="AA741" s="6" t="n"/>
      <c r="AB741" s="6" t="n"/>
    </row>
    <row r="742">
      <c r="A742" s="6" t="n"/>
      <c r="B742" s="6" t="n"/>
      <c r="C742" s="6" t="n"/>
      <c r="D742" s="6" t="n"/>
      <c r="E742" s="9" t="n"/>
      <c r="F742" s="41"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c r="AA742" s="6" t="n"/>
      <c r="AB742" s="6" t="n"/>
    </row>
    <row r="743">
      <c r="A743" s="6" t="n"/>
      <c r="B743" s="6" t="n"/>
      <c r="C743" s="6" t="n"/>
      <c r="D743" s="6" t="n"/>
      <c r="E743" s="9" t="n"/>
      <c r="F743" s="41"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c r="AA743" s="6" t="n"/>
      <c r="AB743" s="6" t="n"/>
    </row>
    <row r="744">
      <c r="A744" s="6" t="n"/>
      <c r="B744" s="6" t="n"/>
      <c r="C744" s="6" t="n"/>
      <c r="D744" s="6" t="n"/>
      <c r="E744" s="9" t="n"/>
      <c r="F744" s="41"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c r="AA744" s="6" t="n"/>
      <c r="AB744" s="6" t="n"/>
    </row>
    <row r="745">
      <c r="A745" s="6" t="n"/>
      <c r="B745" s="6" t="n"/>
      <c r="C745" s="6" t="n"/>
      <c r="D745" s="6" t="n"/>
      <c r="E745" s="9" t="n"/>
      <c r="F745" s="41"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c r="AA745" s="6" t="n"/>
      <c r="AB745" s="6" t="n"/>
    </row>
    <row r="746">
      <c r="A746" s="6" t="n"/>
      <c r="B746" s="6" t="n"/>
      <c r="C746" s="6" t="n"/>
      <c r="D746" s="6" t="n"/>
      <c r="E746" s="9" t="n"/>
      <c r="F746" s="41"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c r="AA746" s="6" t="n"/>
      <c r="AB746" s="6" t="n"/>
    </row>
    <row r="747">
      <c r="A747" s="6" t="n"/>
      <c r="B747" s="6" t="n"/>
      <c r="C747" s="6" t="n"/>
      <c r="D747" s="6" t="n"/>
      <c r="E747" s="9" t="n"/>
      <c r="F747" s="41"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c r="AA747" s="6" t="n"/>
      <c r="AB747" s="6" t="n"/>
    </row>
    <row r="748">
      <c r="A748" s="6" t="n"/>
      <c r="B748" s="6" t="n"/>
      <c r="C748" s="6" t="n"/>
      <c r="D748" s="6" t="n"/>
      <c r="E748" s="9" t="n"/>
      <c r="F748" s="41"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c r="AA748" s="6" t="n"/>
      <c r="AB748" s="6" t="n"/>
    </row>
    <row r="749">
      <c r="A749" s="6" t="n"/>
      <c r="B749" s="6" t="n"/>
      <c r="C749" s="6" t="n"/>
      <c r="D749" s="6" t="n"/>
      <c r="E749" s="9" t="n"/>
      <c r="F749" s="41"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c r="AA749" s="6" t="n"/>
      <c r="AB749" s="6" t="n"/>
    </row>
    <row r="750">
      <c r="A750" s="6" t="n"/>
      <c r="B750" s="6" t="n"/>
      <c r="C750" s="6" t="n"/>
      <c r="D750" s="6" t="n"/>
      <c r="E750" s="9" t="n"/>
      <c r="F750" s="41"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c r="AA750" s="6" t="n"/>
      <c r="AB750" s="6" t="n"/>
    </row>
    <row r="751">
      <c r="A751" s="6" t="n"/>
      <c r="B751" s="6" t="n"/>
      <c r="C751" s="6" t="n"/>
      <c r="D751" s="6" t="n"/>
      <c r="E751" s="9" t="n"/>
      <c r="F751" s="41"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c r="AA751" s="6" t="n"/>
      <c r="AB751" s="6" t="n"/>
    </row>
    <row r="752">
      <c r="A752" s="6" t="n"/>
      <c r="B752" s="6" t="n"/>
      <c r="C752" s="6" t="n"/>
      <c r="D752" s="6" t="n"/>
      <c r="E752" s="9" t="n"/>
      <c r="F752" s="41"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c r="AA752" s="6" t="n"/>
      <c r="AB752" s="6" t="n"/>
    </row>
    <row r="753">
      <c r="A753" s="6" t="n"/>
      <c r="B753" s="6" t="n"/>
      <c r="C753" s="6" t="n"/>
      <c r="D753" s="6" t="n"/>
      <c r="E753" s="9" t="n"/>
      <c r="F753" s="41"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c r="AA753" s="6" t="n"/>
      <c r="AB753" s="6" t="n"/>
    </row>
    <row r="754">
      <c r="A754" s="6" t="n"/>
      <c r="B754" s="6" t="n"/>
      <c r="C754" s="6" t="n"/>
      <c r="D754" s="6" t="n"/>
      <c r="E754" s="9" t="n"/>
      <c r="F754" s="41"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c r="AA754" s="6" t="n"/>
      <c r="AB754" s="6" t="n"/>
    </row>
    <row r="755">
      <c r="A755" s="6" t="n"/>
      <c r="B755" s="6" t="n"/>
      <c r="C755" s="6" t="n"/>
      <c r="D755" s="6" t="n"/>
      <c r="E755" s="9" t="n"/>
      <c r="F755" s="41"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c r="AA755" s="6" t="n"/>
      <c r="AB755" s="6" t="n"/>
    </row>
    <row r="756">
      <c r="A756" s="6" t="n"/>
      <c r="B756" s="6" t="n"/>
      <c r="C756" s="6" t="n"/>
      <c r="D756" s="6" t="n"/>
      <c r="E756" s="9" t="n"/>
      <c r="F756" s="41"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c r="AA756" s="6" t="n"/>
      <c r="AB756" s="6" t="n"/>
    </row>
    <row r="757">
      <c r="A757" s="6" t="n"/>
      <c r="B757" s="6" t="n"/>
      <c r="C757" s="6" t="n"/>
      <c r="D757" s="6" t="n"/>
      <c r="E757" s="9" t="n"/>
      <c r="F757" s="41"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c r="AA757" s="6" t="n"/>
      <c r="AB757" s="6" t="n"/>
    </row>
    <row r="758">
      <c r="A758" s="6" t="n"/>
      <c r="B758" s="6" t="n"/>
      <c r="C758" s="6" t="n"/>
      <c r="D758" s="6" t="n"/>
      <c r="E758" s="9" t="n"/>
      <c r="F758" s="41"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c r="AA758" s="6" t="n"/>
      <c r="AB758" s="6" t="n"/>
    </row>
    <row r="759">
      <c r="A759" s="6" t="n"/>
      <c r="B759" s="6" t="n"/>
      <c r="C759" s="6" t="n"/>
      <c r="D759" s="6" t="n"/>
      <c r="E759" s="9" t="n"/>
      <c r="F759" s="41"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c r="AA759" s="6" t="n"/>
      <c r="AB759" s="6" t="n"/>
    </row>
    <row r="760">
      <c r="A760" s="6" t="n"/>
      <c r="B760" s="6" t="n"/>
      <c r="C760" s="6" t="n"/>
      <c r="D760" s="6" t="n"/>
      <c r="E760" s="9" t="n"/>
      <c r="F760" s="41"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c r="AA760" s="6" t="n"/>
      <c r="AB760" s="6" t="n"/>
    </row>
    <row r="761">
      <c r="A761" s="6" t="n"/>
      <c r="B761" s="6" t="n"/>
      <c r="C761" s="6" t="n"/>
      <c r="D761" s="6" t="n"/>
      <c r="E761" s="9" t="n"/>
      <c r="F761" s="41"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c r="AA761" s="6" t="n"/>
      <c r="AB761" s="6" t="n"/>
    </row>
    <row r="762">
      <c r="A762" s="6" t="n"/>
      <c r="B762" s="6" t="n"/>
      <c r="C762" s="6" t="n"/>
      <c r="D762" s="6" t="n"/>
      <c r="E762" s="9" t="n"/>
      <c r="F762" s="41"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c r="AA762" s="6" t="n"/>
      <c r="AB762" s="6" t="n"/>
    </row>
    <row r="763">
      <c r="A763" s="6" t="n"/>
      <c r="B763" s="6" t="n"/>
      <c r="C763" s="6" t="n"/>
      <c r="D763" s="6" t="n"/>
      <c r="E763" s="9" t="n"/>
      <c r="F763" s="41"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c r="AA763" s="6" t="n"/>
      <c r="AB763" s="6" t="n"/>
    </row>
    <row r="764">
      <c r="A764" s="6" t="n"/>
      <c r="B764" s="6" t="n"/>
      <c r="C764" s="6" t="n"/>
      <c r="D764" s="6" t="n"/>
      <c r="E764" s="9" t="n"/>
      <c r="F764" s="41"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c r="AA764" s="6" t="n"/>
      <c r="AB764" s="6" t="n"/>
    </row>
    <row r="765">
      <c r="A765" s="6" t="n"/>
      <c r="B765" s="6" t="n"/>
      <c r="C765" s="6" t="n"/>
      <c r="D765" s="6" t="n"/>
      <c r="E765" s="9" t="n"/>
      <c r="F765" s="41"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c r="AA765" s="6" t="n"/>
      <c r="AB765" s="6" t="n"/>
    </row>
    <row r="766">
      <c r="A766" s="6" t="n"/>
      <c r="B766" s="6" t="n"/>
      <c r="C766" s="6" t="n"/>
      <c r="D766" s="6" t="n"/>
      <c r="E766" s="9" t="n"/>
      <c r="F766" s="41"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c r="AA766" s="6" t="n"/>
      <c r="AB766" s="6" t="n"/>
    </row>
    <row r="767">
      <c r="A767" s="6" t="n"/>
      <c r="B767" s="6" t="n"/>
      <c r="C767" s="6" t="n"/>
      <c r="D767" s="6" t="n"/>
      <c r="E767" s="9" t="n"/>
      <c r="F767" s="41"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c r="AA767" s="6" t="n"/>
      <c r="AB767" s="6" t="n"/>
    </row>
    <row r="768">
      <c r="A768" s="6" t="n"/>
      <c r="B768" s="6" t="n"/>
      <c r="C768" s="6" t="n"/>
      <c r="D768" s="6" t="n"/>
      <c r="E768" s="9" t="n"/>
      <c r="F768" s="41"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c r="AA768" s="6" t="n"/>
      <c r="AB768" s="6" t="n"/>
    </row>
    <row r="769">
      <c r="A769" s="6" t="n"/>
      <c r="B769" s="6" t="n"/>
      <c r="C769" s="6" t="n"/>
      <c r="D769" s="6" t="n"/>
      <c r="E769" s="9" t="n"/>
      <c r="F769" s="41"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c r="AA769" s="6" t="n"/>
      <c r="AB769" s="6" t="n"/>
    </row>
    <row r="770">
      <c r="A770" s="6" t="n"/>
      <c r="B770" s="6" t="n"/>
      <c r="C770" s="6" t="n"/>
      <c r="D770" s="6" t="n"/>
      <c r="E770" s="9" t="n"/>
      <c r="F770" s="41"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c r="AA770" s="6" t="n"/>
      <c r="AB770" s="6" t="n"/>
    </row>
    <row r="771">
      <c r="A771" s="6" t="n"/>
      <c r="B771" s="6" t="n"/>
      <c r="C771" s="6" t="n"/>
      <c r="D771" s="6" t="n"/>
      <c r="E771" s="9" t="n"/>
      <c r="F771" s="41"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c r="AA771" s="6" t="n"/>
      <c r="AB771" s="6" t="n"/>
    </row>
    <row r="772">
      <c r="A772" s="6" t="n"/>
      <c r="B772" s="6" t="n"/>
      <c r="C772" s="6" t="n"/>
      <c r="D772" s="6" t="n"/>
      <c r="E772" s="9" t="n"/>
      <c r="F772" s="41"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c r="AA772" s="6" t="n"/>
      <c r="AB772" s="6" t="n"/>
    </row>
    <row r="773">
      <c r="A773" s="6" t="n"/>
      <c r="B773" s="6" t="n"/>
      <c r="C773" s="6" t="n"/>
      <c r="D773" s="6" t="n"/>
      <c r="E773" s="9" t="n"/>
      <c r="F773" s="41"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c r="AA773" s="6" t="n"/>
      <c r="AB773" s="6" t="n"/>
    </row>
    <row r="774">
      <c r="A774" s="6" t="n"/>
      <c r="B774" s="6" t="n"/>
      <c r="C774" s="6" t="n"/>
      <c r="D774" s="6" t="n"/>
      <c r="E774" s="9" t="n"/>
      <c r="F774" s="41"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c r="AA774" s="6" t="n"/>
      <c r="AB774" s="6" t="n"/>
    </row>
    <row r="775">
      <c r="A775" s="6" t="n"/>
      <c r="B775" s="6" t="n"/>
      <c r="C775" s="6" t="n"/>
      <c r="D775" s="6" t="n"/>
      <c r="E775" s="9" t="n"/>
      <c r="F775" s="41"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c r="AA775" s="6" t="n"/>
      <c r="AB775" s="6" t="n"/>
    </row>
    <row r="776">
      <c r="A776" s="6" t="n"/>
      <c r="B776" s="6" t="n"/>
      <c r="C776" s="6" t="n"/>
      <c r="D776" s="6" t="n"/>
      <c r="E776" s="9" t="n"/>
      <c r="F776" s="41"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c r="AA776" s="6" t="n"/>
      <c r="AB776" s="6" t="n"/>
    </row>
    <row r="777">
      <c r="A777" s="6" t="n"/>
      <c r="B777" s="6" t="n"/>
      <c r="C777" s="6" t="n"/>
      <c r="D777" s="6" t="n"/>
      <c r="E777" s="9" t="n"/>
      <c r="F777" s="41"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c r="AA777" s="6" t="n"/>
      <c r="AB777" s="6" t="n"/>
    </row>
    <row r="778">
      <c r="A778" s="6" t="n"/>
      <c r="B778" s="6" t="n"/>
      <c r="C778" s="6" t="n"/>
      <c r="D778" s="6" t="n"/>
      <c r="E778" s="9" t="n"/>
      <c r="F778" s="41"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c r="AA778" s="6" t="n"/>
      <c r="AB778" s="6" t="n"/>
    </row>
    <row r="779">
      <c r="A779" s="6" t="n"/>
      <c r="B779" s="6" t="n"/>
      <c r="C779" s="6" t="n"/>
      <c r="D779" s="6" t="n"/>
      <c r="E779" s="9" t="n"/>
      <c r="F779" s="41"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c r="AA779" s="6" t="n"/>
      <c r="AB779" s="6" t="n"/>
    </row>
    <row r="780">
      <c r="A780" s="6" t="n"/>
      <c r="B780" s="6" t="n"/>
      <c r="C780" s="6" t="n"/>
      <c r="D780" s="6" t="n"/>
      <c r="E780" s="9" t="n"/>
      <c r="F780" s="41"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c r="AA780" s="6" t="n"/>
      <c r="AB780" s="6" t="n"/>
    </row>
    <row r="781">
      <c r="A781" s="6" t="n"/>
      <c r="B781" s="6" t="n"/>
      <c r="C781" s="6" t="n"/>
      <c r="D781" s="6" t="n"/>
      <c r="E781" s="9" t="n"/>
      <c r="F781" s="41"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c r="AA781" s="6" t="n"/>
      <c r="AB781" s="6" t="n"/>
    </row>
    <row r="782">
      <c r="A782" s="6" t="n"/>
      <c r="B782" s="6" t="n"/>
      <c r="C782" s="6" t="n"/>
      <c r="D782" s="6" t="n"/>
      <c r="E782" s="9" t="n"/>
      <c r="F782" s="41"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c r="AA782" s="6" t="n"/>
      <c r="AB782" s="6" t="n"/>
    </row>
    <row r="783">
      <c r="A783" s="6" t="n"/>
      <c r="B783" s="6" t="n"/>
      <c r="C783" s="6" t="n"/>
      <c r="D783" s="6" t="n"/>
      <c r="E783" s="9" t="n"/>
      <c r="F783" s="41"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c r="AA783" s="6" t="n"/>
      <c r="AB783" s="6" t="n"/>
    </row>
    <row r="784">
      <c r="A784" s="6" t="n"/>
      <c r="B784" s="6" t="n"/>
      <c r="C784" s="6" t="n"/>
      <c r="D784" s="6" t="n"/>
      <c r="E784" s="9" t="n"/>
      <c r="F784" s="41"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c r="AA784" s="6" t="n"/>
      <c r="AB784" s="6" t="n"/>
    </row>
    <row r="785">
      <c r="A785" s="6" t="n"/>
      <c r="B785" s="6" t="n"/>
      <c r="C785" s="6" t="n"/>
      <c r="D785" s="6" t="n"/>
      <c r="E785" s="9" t="n"/>
      <c r="F785" s="41"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c r="AA785" s="6" t="n"/>
      <c r="AB785" s="6" t="n"/>
    </row>
    <row r="786">
      <c r="A786" s="6" t="n"/>
      <c r="B786" s="6" t="n"/>
      <c r="C786" s="6" t="n"/>
      <c r="D786" s="6" t="n"/>
      <c r="E786" s="9" t="n"/>
      <c r="F786" s="41"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c r="AA786" s="6" t="n"/>
      <c r="AB786" s="6" t="n"/>
    </row>
    <row r="787">
      <c r="A787" s="6" t="n"/>
      <c r="B787" s="6" t="n"/>
      <c r="C787" s="6" t="n"/>
      <c r="D787" s="6" t="n"/>
      <c r="E787" s="9" t="n"/>
      <c r="F787" s="41"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c r="AA787" s="6" t="n"/>
      <c r="AB787" s="6" t="n"/>
    </row>
    <row r="788">
      <c r="A788" s="6" t="n"/>
      <c r="B788" s="6" t="n"/>
      <c r="C788" s="6" t="n"/>
      <c r="D788" s="6" t="n"/>
      <c r="E788" s="9" t="n"/>
      <c r="F788" s="41"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c r="AA788" s="6" t="n"/>
      <c r="AB788" s="6" t="n"/>
    </row>
    <row r="789">
      <c r="A789" s="6" t="n"/>
      <c r="B789" s="6" t="n"/>
      <c r="C789" s="6" t="n"/>
      <c r="D789" s="6" t="n"/>
      <c r="E789" s="9" t="n"/>
      <c r="F789" s="41"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c r="AA789" s="6" t="n"/>
      <c r="AB789" s="6" t="n"/>
    </row>
    <row r="790">
      <c r="A790" s="6" t="n"/>
      <c r="B790" s="6" t="n"/>
      <c r="C790" s="6" t="n"/>
      <c r="D790" s="6" t="n"/>
      <c r="E790" s="9" t="n"/>
      <c r="F790" s="41"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c r="AA790" s="6" t="n"/>
      <c r="AB790" s="6" t="n"/>
    </row>
    <row r="791">
      <c r="A791" s="6" t="n"/>
      <c r="B791" s="6" t="n"/>
      <c r="C791" s="6" t="n"/>
      <c r="D791" s="6" t="n"/>
      <c r="E791" s="9" t="n"/>
      <c r="F791" s="41"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c r="AA791" s="6" t="n"/>
      <c r="AB791" s="6" t="n"/>
    </row>
    <row r="792">
      <c r="A792" s="6" t="n"/>
      <c r="B792" s="6" t="n"/>
      <c r="C792" s="6" t="n"/>
      <c r="D792" s="6" t="n"/>
      <c r="E792" s="9" t="n"/>
      <c r="F792" s="41"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c r="AA792" s="6" t="n"/>
      <c r="AB792" s="6" t="n"/>
    </row>
    <row r="793">
      <c r="A793" s="6" t="n"/>
      <c r="B793" s="6" t="n"/>
      <c r="C793" s="6" t="n"/>
      <c r="D793" s="6" t="n"/>
      <c r="E793" s="9" t="n"/>
      <c r="F793" s="41"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c r="AA793" s="6" t="n"/>
      <c r="AB793" s="6" t="n"/>
    </row>
    <row r="794">
      <c r="A794" s="6" t="n"/>
      <c r="B794" s="6" t="n"/>
      <c r="C794" s="6" t="n"/>
      <c r="D794" s="6" t="n"/>
      <c r="E794" s="9" t="n"/>
      <c r="F794" s="41"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c r="AA794" s="6" t="n"/>
      <c r="AB794" s="6" t="n"/>
    </row>
    <row r="795">
      <c r="A795" s="6" t="n"/>
      <c r="B795" s="6" t="n"/>
      <c r="C795" s="6" t="n"/>
      <c r="D795" s="6" t="n"/>
      <c r="E795" s="9" t="n"/>
      <c r="F795" s="41"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c r="AA795" s="6" t="n"/>
      <c r="AB795" s="6" t="n"/>
    </row>
    <row r="796">
      <c r="A796" s="6" t="n"/>
      <c r="B796" s="6" t="n"/>
      <c r="C796" s="6" t="n"/>
      <c r="D796" s="6" t="n"/>
      <c r="E796" s="9" t="n"/>
      <c r="F796" s="41"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c r="AA796" s="6" t="n"/>
      <c r="AB796" s="6" t="n"/>
    </row>
    <row r="797">
      <c r="A797" s="6" t="n"/>
      <c r="B797" s="6" t="n"/>
      <c r="C797" s="6" t="n"/>
      <c r="D797" s="6" t="n"/>
      <c r="E797" s="9" t="n"/>
      <c r="F797" s="41"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c r="AA797" s="6" t="n"/>
      <c r="AB797" s="6" t="n"/>
    </row>
    <row r="798">
      <c r="A798" s="6" t="n"/>
      <c r="B798" s="6" t="n"/>
      <c r="C798" s="6" t="n"/>
      <c r="D798" s="6" t="n"/>
      <c r="E798" s="9" t="n"/>
      <c r="F798" s="41"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c r="AA798" s="6" t="n"/>
      <c r="AB798" s="6" t="n"/>
    </row>
    <row r="799">
      <c r="A799" s="6" t="n"/>
      <c r="B799" s="6" t="n"/>
      <c r="C799" s="6" t="n"/>
      <c r="D799" s="6" t="n"/>
      <c r="E799" s="9" t="n"/>
      <c r="F799" s="41"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c r="AA799" s="6" t="n"/>
      <c r="AB799" s="6" t="n"/>
    </row>
    <row r="800">
      <c r="A800" s="6" t="n"/>
      <c r="B800" s="6" t="n"/>
      <c r="C800" s="6" t="n"/>
      <c r="D800" s="6" t="n"/>
      <c r="E800" s="9" t="n"/>
      <c r="F800" s="41"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c r="AA800" s="6" t="n"/>
      <c r="AB800" s="6" t="n"/>
    </row>
    <row r="801">
      <c r="A801" s="6" t="n"/>
      <c r="B801" s="6" t="n"/>
      <c r="C801" s="6" t="n"/>
      <c r="D801" s="6" t="n"/>
      <c r="E801" s="9" t="n"/>
      <c r="F801" s="41"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c r="AA801" s="6" t="n"/>
      <c r="AB801" s="6" t="n"/>
    </row>
    <row r="802">
      <c r="A802" s="6" t="n"/>
      <c r="B802" s="6" t="n"/>
      <c r="C802" s="6" t="n"/>
      <c r="D802" s="6" t="n"/>
      <c r="E802" s="9" t="n"/>
      <c r="F802" s="41"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c r="AA802" s="6" t="n"/>
      <c r="AB802" s="6" t="n"/>
    </row>
    <row r="803">
      <c r="A803" s="6" t="n"/>
      <c r="B803" s="6" t="n"/>
      <c r="C803" s="6" t="n"/>
      <c r="D803" s="6" t="n"/>
      <c r="E803" s="9" t="n"/>
      <c r="F803" s="41"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c r="AA803" s="6" t="n"/>
      <c r="AB803" s="6" t="n"/>
    </row>
    <row r="804">
      <c r="A804" s="6" t="n"/>
      <c r="B804" s="6" t="n"/>
      <c r="C804" s="6" t="n"/>
      <c r="D804" s="6" t="n"/>
      <c r="E804" s="9" t="n"/>
      <c r="F804" s="41"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c r="AA804" s="6" t="n"/>
      <c r="AB804" s="6" t="n"/>
    </row>
    <row r="805">
      <c r="A805" s="6" t="n"/>
      <c r="B805" s="6" t="n"/>
      <c r="C805" s="6" t="n"/>
      <c r="D805" s="6" t="n"/>
      <c r="E805" s="9" t="n"/>
      <c r="F805" s="41"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c r="AA805" s="6" t="n"/>
      <c r="AB805" s="6" t="n"/>
    </row>
    <row r="806">
      <c r="A806" s="6" t="n"/>
      <c r="B806" s="6" t="n"/>
      <c r="C806" s="6" t="n"/>
      <c r="D806" s="6" t="n"/>
      <c r="E806" s="9" t="n"/>
      <c r="F806" s="41"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c r="AA806" s="6" t="n"/>
      <c r="AB806" s="6" t="n"/>
    </row>
    <row r="807">
      <c r="A807" s="6" t="n"/>
      <c r="B807" s="6" t="n"/>
      <c r="C807" s="6" t="n"/>
      <c r="D807" s="6" t="n"/>
      <c r="E807" s="9" t="n"/>
      <c r="F807" s="41"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c r="AA807" s="6" t="n"/>
      <c r="AB807" s="6" t="n"/>
    </row>
    <row r="808">
      <c r="A808" s="6" t="n"/>
      <c r="B808" s="6" t="n"/>
      <c r="C808" s="6" t="n"/>
      <c r="D808" s="6" t="n"/>
      <c r="E808" s="9" t="n"/>
      <c r="F808" s="41"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c r="AA808" s="6" t="n"/>
      <c r="AB808" s="6" t="n"/>
    </row>
    <row r="809">
      <c r="A809" s="6" t="n"/>
      <c r="B809" s="6" t="n"/>
      <c r="C809" s="6" t="n"/>
      <c r="D809" s="6" t="n"/>
      <c r="E809" s="9" t="n"/>
      <c r="F809" s="41"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c r="AA809" s="6" t="n"/>
      <c r="AB809" s="6" t="n"/>
    </row>
    <row r="810">
      <c r="A810" s="6" t="n"/>
      <c r="B810" s="6" t="n"/>
      <c r="C810" s="6" t="n"/>
      <c r="D810" s="6" t="n"/>
      <c r="E810" s="9" t="n"/>
      <c r="F810" s="41"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c r="AA810" s="6" t="n"/>
      <c r="AB810" s="6" t="n"/>
    </row>
    <row r="811">
      <c r="A811" s="6" t="n"/>
      <c r="B811" s="6" t="n"/>
      <c r="C811" s="6" t="n"/>
      <c r="D811" s="6" t="n"/>
      <c r="E811" s="9" t="n"/>
      <c r="F811" s="41"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c r="AA811" s="6" t="n"/>
      <c r="AB811" s="6" t="n"/>
    </row>
    <row r="812">
      <c r="A812" s="6" t="n"/>
      <c r="B812" s="6" t="n"/>
      <c r="C812" s="6" t="n"/>
      <c r="D812" s="6" t="n"/>
      <c r="E812" s="9" t="n"/>
      <c r="F812" s="41"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c r="AA812" s="6" t="n"/>
      <c r="AB812" s="6" t="n"/>
    </row>
    <row r="813">
      <c r="A813" s="6" t="n"/>
      <c r="B813" s="6" t="n"/>
      <c r="C813" s="6" t="n"/>
      <c r="D813" s="6" t="n"/>
      <c r="E813" s="9" t="n"/>
      <c r="F813" s="41"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c r="AA813" s="6" t="n"/>
      <c r="AB813" s="6" t="n"/>
    </row>
    <row r="814">
      <c r="A814" s="6" t="n"/>
      <c r="B814" s="6" t="n"/>
      <c r="C814" s="6" t="n"/>
      <c r="D814" s="6" t="n"/>
      <c r="E814" s="9" t="n"/>
      <c r="F814" s="41"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c r="AA814" s="6" t="n"/>
      <c r="AB814" s="6" t="n"/>
    </row>
    <row r="815">
      <c r="A815" s="6" t="n"/>
      <c r="B815" s="6" t="n"/>
      <c r="C815" s="6" t="n"/>
      <c r="D815" s="6" t="n"/>
      <c r="E815" s="9" t="n"/>
      <c r="F815" s="41"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c r="AA815" s="6" t="n"/>
      <c r="AB815" s="6" t="n"/>
    </row>
    <row r="816">
      <c r="A816" s="6" t="n"/>
      <c r="B816" s="6" t="n"/>
      <c r="C816" s="6" t="n"/>
      <c r="D816" s="6" t="n"/>
      <c r="E816" s="9" t="n"/>
      <c r="F816" s="41"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c r="AA816" s="6" t="n"/>
      <c r="AB816" s="6" t="n"/>
    </row>
    <row r="817">
      <c r="A817" s="6" t="n"/>
      <c r="B817" s="6" t="n"/>
      <c r="C817" s="6" t="n"/>
      <c r="D817" s="6" t="n"/>
      <c r="E817" s="9" t="n"/>
      <c r="F817" s="41"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c r="AA817" s="6" t="n"/>
      <c r="AB817" s="6" t="n"/>
    </row>
    <row r="818">
      <c r="A818" s="6" t="n"/>
      <c r="B818" s="6" t="n"/>
      <c r="C818" s="6" t="n"/>
      <c r="D818" s="6" t="n"/>
      <c r="E818" s="9" t="n"/>
      <c r="F818" s="41"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c r="AA818" s="6" t="n"/>
      <c r="AB818" s="6" t="n"/>
    </row>
    <row r="819">
      <c r="A819" s="6" t="n"/>
      <c r="B819" s="6" t="n"/>
      <c r="C819" s="6" t="n"/>
      <c r="D819" s="6" t="n"/>
      <c r="E819" s="9" t="n"/>
      <c r="F819" s="41"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c r="AA819" s="6" t="n"/>
      <c r="AB819" s="6" t="n"/>
    </row>
    <row r="820">
      <c r="A820" s="6" t="n"/>
      <c r="B820" s="6" t="n"/>
      <c r="C820" s="6" t="n"/>
      <c r="D820" s="6" t="n"/>
      <c r="E820" s="9" t="n"/>
      <c r="F820" s="41"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c r="AA820" s="6" t="n"/>
      <c r="AB820" s="6" t="n"/>
    </row>
    <row r="821">
      <c r="A821" s="6" t="n"/>
      <c r="B821" s="6" t="n"/>
      <c r="C821" s="6" t="n"/>
      <c r="D821" s="6" t="n"/>
      <c r="E821" s="9" t="n"/>
      <c r="F821" s="41"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c r="AA821" s="6" t="n"/>
      <c r="AB821" s="6" t="n"/>
    </row>
    <row r="822">
      <c r="A822" s="6" t="n"/>
      <c r="B822" s="6" t="n"/>
      <c r="C822" s="6" t="n"/>
      <c r="D822" s="6" t="n"/>
      <c r="E822" s="9" t="n"/>
      <c r="F822" s="41"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c r="AA822" s="6" t="n"/>
      <c r="AB822" s="6" t="n"/>
    </row>
    <row r="823">
      <c r="A823" s="6" t="n"/>
      <c r="B823" s="6" t="n"/>
      <c r="C823" s="6" t="n"/>
      <c r="D823" s="6" t="n"/>
      <c r="E823" s="9" t="n"/>
      <c r="F823" s="41"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c r="AA823" s="6" t="n"/>
      <c r="AB823" s="6" t="n"/>
    </row>
    <row r="824">
      <c r="A824" s="6" t="n"/>
      <c r="B824" s="6" t="n"/>
      <c r="C824" s="6" t="n"/>
      <c r="D824" s="6" t="n"/>
      <c r="E824" s="9" t="n"/>
      <c r="F824" s="41"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c r="AA824" s="6" t="n"/>
      <c r="AB824" s="6" t="n"/>
    </row>
    <row r="825">
      <c r="A825" s="6" t="n"/>
      <c r="B825" s="6" t="n"/>
      <c r="C825" s="6" t="n"/>
      <c r="D825" s="6" t="n"/>
      <c r="E825" s="9" t="n"/>
      <c r="F825" s="41"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c r="AA825" s="6" t="n"/>
      <c r="AB825" s="6" t="n"/>
    </row>
    <row r="826">
      <c r="A826" s="6" t="n"/>
      <c r="B826" s="6" t="n"/>
      <c r="C826" s="6" t="n"/>
      <c r="D826" s="6" t="n"/>
      <c r="E826" s="9" t="n"/>
      <c r="F826" s="41"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c r="AA826" s="6" t="n"/>
      <c r="AB826" s="6" t="n"/>
    </row>
    <row r="827">
      <c r="A827" s="6" t="n"/>
      <c r="B827" s="6" t="n"/>
      <c r="C827" s="6" t="n"/>
      <c r="D827" s="6" t="n"/>
      <c r="E827" s="9" t="n"/>
      <c r="F827" s="41"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c r="AA827" s="6" t="n"/>
      <c r="AB827" s="6" t="n"/>
    </row>
    <row r="828">
      <c r="A828" s="6" t="n"/>
      <c r="B828" s="6" t="n"/>
      <c r="C828" s="6" t="n"/>
      <c r="D828" s="6" t="n"/>
      <c r="E828" s="9" t="n"/>
      <c r="F828" s="41"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c r="AA828" s="6" t="n"/>
      <c r="AB828" s="6" t="n"/>
    </row>
    <row r="829">
      <c r="A829" s="6" t="n"/>
      <c r="B829" s="6" t="n"/>
      <c r="C829" s="6" t="n"/>
      <c r="D829" s="6" t="n"/>
      <c r="E829" s="9" t="n"/>
      <c r="F829" s="41"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c r="AA829" s="6" t="n"/>
      <c r="AB829" s="6" t="n"/>
    </row>
    <row r="830">
      <c r="A830" s="6" t="n"/>
      <c r="B830" s="6" t="n"/>
      <c r="C830" s="6" t="n"/>
      <c r="D830" s="6" t="n"/>
      <c r="E830" s="9" t="n"/>
      <c r="F830" s="41"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c r="AA830" s="6" t="n"/>
      <c r="AB830" s="6" t="n"/>
    </row>
    <row r="831">
      <c r="A831" s="6" t="n"/>
      <c r="B831" s="6" t="n"/>
      <c r="C831" s="6" t="n"/>
      <c r="D831" s="6" t="n"/>
      <c r="E831" s="9" t="n"/>
      <c r="F831" s="41"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c r="AA831" s="6" t="n"/>
      <c r="AB831" s="6" t="n"/>
    </row>
    <row r="832">
      <c r="A832" s="6" t="n"/>
      <c r="B832" s="6" t="n"/>
      <c r="C832" s="6" t="n"/>
      <c r="D832" s="6" t="n"/>
      <c r="E832" s="9" t="n"/>
      <c r="F832" s="41"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c r="AA832" s="6" t="n"/>
      <c r="AB832" s="6" t="n"/>
    </row>
    <row r="833">
      <c r="A833" s="6" t="n"/>
      <c r="B833" s="6" t="n"/>
      <c r="C833" s="6" t="n"/>
      <c r="D833" s="6" t="n"/>
      <c r="E833" s="9" t="n"/>
      <c r="F833" s="41"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c r="AA833" s="6" t="n"/>
      <c r="AB833" s="6" t="n"/>
    </row>
    <row r="834">
      <c r="A834" s="6" t="n"/>
      <c r="B834" s="6" t="n"/>
      <c r="C834" s="6" t="n"/>
      <c r="D834" s="6" t="n"/>
      <c r="E834" s="9" t="n"/>
      <c r="F834" s="41"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c r="AA834" s="6" t="n"/>
      <c r="AB834" s="6" t="n"/>
    </row>
    <row r="835">
      <c r="A835" s="6" t="n"/>
      <c r="B835" s="6" t="n"/>
      <c r="C835" s="6" t="n"/>
      <c r="D835" s="6" t="n"/>
      <c r="E835" s="9" t="n"/>
      <c r="F835" s="41"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c r="AA835" s="6" t="n"/>
      <c r="AB835" s="6" t="n"/>
    </row>
    <row r="836">
      <c r="A836" s="6" t="n"/>
      <c r="B836" s="6" t="n"/>
      <c r="C836" s="6" t="n"/>
      <c r="D836" s="6" t="n"/>
      <c r="E836" s="9" t="n"/>
      <c r="F836" s="41"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c r="AA836" s="6" t="n"/>
      <c r="AB836" s="6" t="n"/>
    </row>
    <row r="837">
      <c r="A837" s="6" t="n"/>
      <c r="B837" s="6" t="n"/>
      <c r="C837" s="6" t="n"/>
      <c r="D837" s="6" t="n"/>
      <c r="E837" s="9" t="n"/>
      <c r="F837" s="41"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c r="AA837" s="6" t="n"/>
      <c r="AB837" s="6" t="n"/>
    </row>
    <row r="838">
      <c r="A838" s="6" t="n"/>
      <c r="B838" s="6" t="n"/>
      <c r="C838" s="6" t="n"/>
      <c r="D838" s="6" t="n"/>
      <c r="E838" s="9" t="n"/>
      <c r="F838" s="41"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c r="AA838" s="6" t="n"/>
      <c r="AB838" s="6" t="n"/>
    </row>
    <row r="839">
      <c r="A839" s="6" t="n"/>
      <c r="B839" s="6" t="n"/>
      <c r="C839" s="6" t="n"/>
      <c r="D839" s="6" t="n"/>
      <c r="E839" s="9" t="n"/>
      <c r="F839" s="41"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c r="AA839" s="6" t="n"/>
      <c r="AB839" s="6" t="n"/>
    </row>
    <row r="840">
      <c r="A840" s="6" t="n"/>
      <c r="B840" s="6" t="n"/>
      <c r="C840" s="6" t="n"/>
      <c r="D840" s="6" t="n"/>
      <c r="E840" s="9" t="n"/>
      <c r="F840" s="41"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c r="AA840" s="6" t="n"/>
      <c r="AB840" s="6" t="n"/>
    </row>
    <row r="841">
      <c r="A841" s="6" t="n"/>
      <c r="B841" s="6" t="n"/>
      <c r="C841" s="6" t="n"/>
      <c r="D841" s="6" t="n"/>
      <c r="E841" s="9" t="n"/>
      <c r="F841" s="41"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c r="AA841" s="6" t="n"/>
      <c r="AB841" s="6" t="n"/>
    </row>
    <row r="842">
      <c r="A842" s="6" t="n"/>
      <c r="B842" s="6" t="n"/>
      <c r="C842" s="6" t="n"/>
      <c r="D842" s="6" t="n"/>
      <c r="E842" s="9" t="n"/>
      <c r="F842" s="41"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c r="AA842" s="6" t="n"/>
      <c r="AB842" s="6" t="n"/>
    </row>
    <row r="843">
      <c r="A843" s="6" t="n"/>
      <c r="B843" s="6" t="n"/>
      <c r="C843" s="6" t="n"/>
      <c r="D843" s="6" t="n"/>
      <c r="E843" s="9" t="n"/>
      <c r="F843" s="41"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c r="AA843" s="6" t="n"/>
      <c r="AB843" s="6" t="n"/>
    </row>
    <row r="844">
      <c r="A844" s="6" t="n"/>
      <c r="B844" s="6" t="n"/>
      <c r="C844" s="6" t="n"/>
      <c r="D844" s="6" t="n"/>
      <c r="E844" s="9" t="n"/>
      <c r="F844" s="41"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c r="AA844" s="6" t="n"/>
      <c r="AB844" s="6" t="n"/>
    </row>
    <row r="845">
      <c r="A845" s="6" t="n"/>
      <c r="B845" s="6" t="n"/>
      <c r="C845" s="6" t="n"/>
      <c r="D845" s="6" t="n"/>
      <c r="E845" s="9" t="n"/>
      <c r="F845" s="41"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c r="AA845" s="6" t="n"/>
      <c r="AB845" s="6" t="n"/>
    </row>
    <row r="846">
      <c r="A846" s="6" t="n"/>
      <c r="B846" s="6" t="n"/>
      <c r="C846" s="6" t="n"/>
      <c r="D846" s="6" t="n"/>
      <c r="E846" s="9" t="n"/>
      <c r="F846" s="41"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c r="AA846" s="6" t="n"/>
      <c r="AB846" s="6" t="n"/>
    </row>
    <row r="847">
      <c r="A847" s="6" t="n"/>
      <c r="B847" s="6" t="n"/>
      <c r="C847" s="6" t="n"/>
      <c r="D847" s="6" t="n"/>
      <c r="E847" s="9" t="n"/>
      <c r="F847" s="41"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c r="AA847" s="6" t="n"/>
      <c r="AB847" s="6" t="n"/>
    </row>
    <row r="848">
      <c r="A848" s="6" t="n"/>
      <c r="B848" s="6" t="n"/>
      <c r="C848" s="6" t="n"/>
      <c r="D848" s="6" t="n"/>
      <c r="E848" s="9" t="n"/>
      <c r="F848" s="41"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c r="AA848" s="6" t="n"/>
      <c r="AB848" s="6" t="n"/>
    </row>
    <row r="849">
      <c r="A849" s="6" t="n"/>
      <c r="B849" s="6" t="n"/>
      <c r="C849" s="6" t="n"/>
      <c r="D849" s="6" t="n"/>
      <c r="E849" s="9" t="n"/>
      <c r="F849" s="41"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c r="AA849" s="6" t="n"/>
      <c r="AB849" s="6" t="n"/>
    </row>
    <row r="850">
      <c r="A850" s="6" t="n"/>
      <c r="B850" s="6" t="n"/>
      <c r="C850" s="6" t="n"/>
      <c r="D850" s="6" t="n"/>
      <c r="E850" s="9" t="n"/>
      <c r="F850" s="41"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c r="AA850" s="6" t="n"/>
      <c r="AB850" s="6" t="n"/>
    </row>
    <row r="851">
      <c r="A851" s="6" t="n"/>
      <c r="B851" s="6" t="n"/>
      <c r="C851" s="6" t="n"/>
      <c r="D851" s="6" t="n"/>
      <c r="E851" s="9" t="n"/>
      <c r="F851" s="41"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c r="AA851" s="6" t="n"/>
      <c r="AB851" s="6" t="n"/>
    </row>
    <row r="852">
      <c r="A852" s="6" t="n"/>
      <c r="B852" s="6" t="n"/>
      <c r="C852" s="6" t="n"/>
      <c r="D852" s="6" t="n"/>
      <c r="E852" s="9" t="n"/>
      <c r="F852" s="41"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c r="AA852" s="6" t="n"/>
      <c r="AB852" s="6" t="n"/>
    </row>
    <row r="853">
      <c r="A853" s="6" t="n"/>
      <c r="B853" s="6" t="n"/>
      <c r="C853" s="6" t="n"/>
      <c r="D853" s="6" t="n"/>
      <c r="E853" s="9" t="n"/>
      <c r="F853" s="41"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c r="AA853" s="6" t="n"/>
      <c r="AB853" s="6" t="n"/>
    </row>
    <row r="854">
      <c r="A854" s="6" t="n"/>
      <c r="B854" s="6" t="n"/>
      <c r="C854" s="6" t="n"/>
      <c r="D854" s="6" t="n"/>
      <c r="E854" s="9" t="n"/>
      <c r="F854" s="41"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c r="AA854" s="6" t="n"/>
      <c r="AB854" s="6" t="n"/>
    </row>
    <row r="855">
      <c r="A855" s="6" t="n"/>
      <c r="B855" s="6" t="n"/>
      <c r="C855" s="6" t="n"/>
      <c r="D855" s="6" t="n"/>
      <c r="E855" s="9" t="n"/>
      <c r="F855" s="41"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c r="AA855" s="6" t="n"/>
      <c r="AB855" s="6" t="n"/>
    </row>
    <row r="856">
      <c r="A856" s="6" t="n"/>
      <c r="B856" s="6" t="n"/>
      <c r="C856" s="6" t="n"/>
      <c r="D856" s="6" t="n"/>
      <c r="E856" s="9" t="n"/>
      <c r="F856" s="41"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c r="AA856" s="6" t="n"/>
      <c r="AB856" s="6" t="n"/>
    </row>
    <row r="857">
      <c r="A857" s="6" t="n"/>
      <c r="B857" s="6" t="n"/>
      <c r="C857" s="6" t="n"/>
      <c r="D857" s="6" t="n"/>
      <c r="E857" s="9" t="n"/>
      <c r="F857" s="41"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c r="AA857" s="6" t="n"/>
      <c r="AB857" s="6" t="n"/>
    </row>
    <row r="858">
      <c r="A858" s="6" t="n"/>
      <c r="B858" s="6" t="n"/>
      <c r="C858" s="6" t="n"/>
      <c r="D858" s="6" t="n"/>
      <c r="E858" s="9" t="n"/>
      <c r="F858" s="41"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c r="AA858" s="6" t="n"/>
      <c r="AB858" s="6" t="n"/>
    </row>
    <row r="859">
      <c r="A859" s="6" t="n"/>
      <c r="B859" s="6" t="n"/>
      <c r="C859" s="6" t="n"/>
      <c r="D859" s="6" t="n"/>
      <c r="E859" s="9" t="n"/>
      <c r="F859" s="41"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c r="AA859" s="6" t="n"/>
      <c r="AB859" s="6" t="n"/>
    </row>
    <row r="860">
      <c r="A860" s="6" t="n"/>
      <c r="B860" s="6" t="n"/>
      <c r="C860" s="6" t="n"/>
      <c r="D860" s="6" t="n"/>
      <c r="E860" s="9" t="n"/>
      <c r="F860" s="41"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c r="AA860" s="6" t="n"/>
      <c r="AB860" s="6" t="n"/>
    </row>
    <row r="861">
      <c r="A861" s="6" t="n"/>
      <c r="B861" s="6" t="n"/>
      <c r="C861" s="6" t="n"/>
      <c r="D861" s="6" t="n"/>
      <c r="E861" s="9" t="n"/>
      <c r="F861" s="41"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c r="AA861" s="6" t="n"/>
      <c r="AB861" s="6" t="n"/>
    </row>
    <row r="862">
      <c r="A862" s="6" t="n"/>
      <c r="B862" s="6" t="n"/>
      <c r="C862" s="6" t="n"/>
      <c r="D862" s="6" t="n"/>
      <c r="E862" s="9" t="n"/>
      <c r="F862" s="41"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c r="AA862" s="6" t="n"/>
      <c r="AB862" s="6" t="n"/>
    </row>
    <row r="863">
      <c r="A863" s="6" t="n"/>
      <c r="B863" s="6" t="n"/>
      <c r="C863" s="6" t="n"/>
      <c r="D863" s="6" t="n"/>
      <c r="E863" s="9" t="n"/>
      <c r="F863" s="41"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c r="AA863" s="6" t="n"/>
      <c r="AB863" s="6" t="n"/>
    </row>
    <row r="864">
      <c r="A864" s="6" t="n"/>
      <c r="B864" s="6" t="n"/>
      <c r="C864" s="6" t="n"/>
      <c r="D864" s="6" t="n"/>
      <c r="E864" s="9" t="n"/>
      <c r="F864" s="41"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c r="AA864" s="6" t="n"/>
      <c r="AB864" s="6" t="n"/>
    </row>
    <row r="865">
      <c r="A865" s="6" t="n"/>
      <c r="B865" s="6" t="n"/>
      <c r="C865" s="6" t="n"/>
      <c r="D865" s="6" t="n"/>
      <c r="E865" s="9" t="n"/>
      <c r="F865" s="41"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c r="AA865" s="6" t="n"/>
      <c r="AB865" s="6" t="n"/>
    </row>
    <row r="866">
      <c r="A866" s="6" t="n"/>
      <c r="B866" s="6" t="n"/>
      <c r="C866" s="6" t="n"/>
      <c r="D866" s="6" t="n"/>
      <c r="E866" s="9" t="n"/>
      <c r="F866" s="41"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c r="AA866" s="6" t="n"/>
      <c r="AB866" s="6" t="n"/>
    </row>
    <row r="867">
      <c r="A867" s="6" t="n"/>
      <c r="B867" s="6" t="n"/>
      <c r="C867" s="6" t="n"/>
      <c r="D867" s="6" t="n"/>
      <c r="E867" s="9" t="n"/>
      <c r="F867" s="41"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c r="AA867" s="6" t="n"/>
      <c r="AB867" s="6" t="n"/>
    </row>
    <row r="868">
      <c r="A868" s="6" t="n"/>
      <c r="B868" s="6" t="n"/>
      <c r="C868" s="6" t="n"/>
      <c r="D868" s="6" t="n"/>
      <c r="E868" s="9" t="n"/>
      <c r="F868" s="41"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c r="AA868" s="6" t="n"/>
      <c r="AB868" s="6" t="n"/>
    </row>
    <row r="869">
      <c r="A869" s="6" t="n"/>
      <c r="B869" s="6" t="n"/>
      <c r="C869" s="6" t="n"/>
      <c r="D869" s="6" t="n"/>
      <c r="E869" s="9" t="n"/>
      <c r="F869" s="41"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c r="AA869" s="6" t="n"/>
      <c r="AB869" s="6" t="n"/>
    </row>
    <row r="870">
      <c r="A870" s="6" t="n"/>
      <c r="B870" s="6" t="n"/>
      <c r="C870" s="6" t="n"/>
      <c r="D870" s="6" t="n"/>
      <c r="E870" s="9" t="n"/>
      <c r="F870" s="41"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c r="AA870" s="6" t="n"/>
      <c r="AB870" s="6" t="n"/>
    </row>
    <row r="871">
      <c r="A871" s="6" t="n"/>
      <c r="B871" s="6" t="n"/>
      <c r="C871" s="6" t="n"/>
      <c r="D871" s="6" t="n"/>
      <c r="E871" s="9" t="n"/>
      <c r="F871" s="41"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c r="AA871" s="6" t="n"/>
      <c r="AB871" s="6" t="n"/>
    </row>
    <row r="872">
      <c r="A872" s="6" t="n"/>
      <c r="B872" s="6" t="n"/>
      <c r="C872" s="6" t="n"/>
      <c r="D872" s="6" t="n"/>
      <c r="E872" s="9" t="n"/>
      <c r="F872" s="41"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c r="AA872" s="6" t="n"/>
      <c r="AB872" s="6" t="n"/>
    </row>
    <row r="873">
      <c r="A873" s="6" t="n"/>
      <c r="B873" s="6" t="n"/>
      <c r="C873" s="6" t="n"/>
      <c r="D873" s="6" t="n"/>
      <c r="E873" s="9" t="n"/>
      <c r="F873" s="41"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c r="AA873" s="6" t="n"/>
      <c r="AB873" s="6" t="n"/>
    </row>
    <row r="874">
      <c r="A874" s="6" t="n"/>
      <c r="B874" s="6" t="n"/>
      <c r="C874" s="6" t="n"/>
      <c r="D874" s="6" t="n"/>
      <c r="E874" s="9" t="n"/>
      <c r="F874" s="41"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c r="AA874" s="6" t="n"/>
      <c r="AB874" s="6" t="n"/>
    </row>
    <row r="875">
      <c r="A875" s="6" t="n"/>
      <c r="B875" s="6" t="n"/>
      <c r="C875" s="6" t="n"/>
      <c r="D875" s="6" t="n"/>
      <c r="E875" s="9" t="n"/>
      <c r="F875" s="41"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c r="AA875" s="6" t="n"/>
      <c r="AB875" s="6" t="n"/>
    </row>
    <row r="876">
      <c r="A876" s="6" t="n"/>
      <c r="B876" s="6" t="n"/>
      <c r="C876" s="6" t="n"/>
      <c r="D876" s="6" t="n"/>
      <c r="E876" s="9" t="n"/>
      <c r="F876" s="41"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c r="AA876" s="6" t="n"/>
      <c r="AB876" s="6" t="n"/>
    </row>
    <row r="877">
      <c r="A877" s="6" t="n"/>
      <c r="B877" s="6" t="n"/>
      <c r="C877" s="6" t="n"/>
      <c r="D877" s="6" t="n"/>
      <c r="E877" s="9" t="n"/>
      <c r="F877" s="41"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c r="AA877" s="6" t="n"/>
      <c r="AB877" s="6" t="n"/>
    </row>
    <row r="878">
      <c r="A878" s="6" t="n"/>
      <c r="B878" s="6" t="n"/>
      <c r="C878" s="6" t="n"/>
      <c r="D878" s="6" t="n"/>
      <c r="E878" s="9" t="n"/>
      <c r="F878" s="41"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c r="AA878" s="6" t="n"/>
      <c r="AB878" s="6" t="n"/>
    </row>
    <row r="879">
      <c r="A879" s="6" t="n"/>
      <c r="B879" s="6" t="n"/>
      <c r="C879" s="6" t="n"/>
      <c r="D879" s="6" t="n"/>
      <c r="E879" s="9" t="n"/>
      <c r="F879" s="41"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c r="AA879" s="6" t="n"/>
      <c r="AB879" s="6" t="n"/>
    </row>
    <row r="880">
      <c r="A880" s="6" t="n"/>
      <c r="B880" s="6" t="n"/>
      <c r="C880" s="6" t="n"/>
      <c r="D880" s="6" t="n"/>
      <c r="E880" s="9" t="n"/>
      <c r="F880" s="41"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c r="AA880" s="6" t="n"/>
      <c r="AB880" s="6" t="n"/>
    </row>
    <row r="881">
      <c r="A881" s="6" t="n"/>
      <c r="B881" s="6" t="n"/>
      <c r="C881" s="6" t="n"/>
      <c r="D881" s="6" t="n"/>
      <c r="E881" s="9" t="n"/>
      <c r="F881" s="41"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c r="AA881" s="6" t="n"/>
      <c r="AB881" s="6" t="n"/>
    </row>
    <row r="882">
      <c r="A882" s="6" t="n"/>
      <c r="B882" s="6" t="n"/>
      <c r="C882" s="6" t="n"/>
      <c r="D882" s="6" t="n"/>
      <c r="E882" s="9" t="n"/>
      <c r="F882" s="41"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c r="AA882" s="6" t="n"/>
      <c r="AB882" s="6" t="n"/>
    </row>
    <row r="883">
      <c r="A883" s="6" t="n"/>
      <c r="B883" s="6" t="n"/>
      <c r="C883" s="6" t="n"/>
      <c r="D883" s="6" t="n"/>
      <c r="E883" s="9" t="n"/>
      <c r="F883" s="41"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c r="AA883" s="6" t="n"/>
      <c r="AB883" s="6" t="n"/>
    </row>
    <row r="884">
      <c r="A884" s="6" t="n"/>
      <c r="B884" s="6" t="n"/>
      <c r="C884" s="6" t="n"/>
      <c r="D884" s="6" t="n"/>
      <c r="E884" s="9" t="n"/>
      <c r="F884" s="41"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c r="AA884" s="6" t="n"/>
      <c r="AB884" s="6" t="n"/>
    </row>
    <row r="885">
      <c r="A885" s="6" t="n"/>
      <c r="B885" s="6" t="n"/>
      <c r="C885" s="6" t="n"/>
      <c r="D885" s="6" t="n"/>
      <c r="E885" s="9" t="n"/>
      <c r="F885" s="41"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c r="AA885" s="6" t="n"/>
      <c r="AB885" s="6" t="n"/>
    </row>
    <row r="886">
      <c r="A886" s="6" t="n"/>
      <c r="B886" s="6" t="n"/>
      <c r="C886" s="6" t="n"/>
      <c r="D886" s="6" t="n"/>
      <c r="E886" s="9" t="n"/>
      <c r="F886" s="41"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c r="AA886" s="6" t="n"/>
      <c r="AB886" s="6" t="n"/>
    </row>
    <row r="887">
      <c r="A887" s="6" t="n"/>
      <c r="B887" s="6" t="n"/>
      <c r="C887" s="6" t="n"/>
      <c r="D887" s="6" t="n"/>
      <c r="E887" s="9" t="n"/>
      <c r="F887" s="41"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c r="AA887" s="6" t="n"/>
      <c r="AB887" s="6" t="n"/>
    </row>
    <row r="888">
      <c r="A888" s="6" t="n"/>
      <c r="B888" s="6" t="n"/>
      <c r="C888" s="6" t="n"/>
      <c r="D888" s="6" t="n"/>
      <c r="E888" s="9" t="n"/>
      <c r="F888" s="41"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c r="AA888" s="6" t="n"/>
      <c r="AB888" s="6" t="n"/>
    </row>
    <row r="889">
      <c r="A889" s="6" t="n"/>
      <c r="B889" s="6" t="n"/>
      <c r="C889" s="6" t="n"/>
      <c r="D889" s="6" t="n"/>
      <c r="E889" s="9" t="n"/>
      <c r="F889" s="41"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c r="AA889" s="6" t="n"/>
      <c r="AB889" s="6" t="n"/>
    </row>
    <row r="890">
      <c r="A890" s="6" t="n"/>
      <c r="B890" s="6" t="n"/>
      <c r="C890" s="6" t="n"/>
      <c r="D890" s="6" t="n"/>
      <c r="E890" s="9" t="n"/>
      <c r="F890" s="41"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c r="AA890" s="6" t="n"/>
      <c r="AB890" s="6" t="n"/>
    </row>
    <row r="891">
      <c r="A891" s="6" t="n"/>
      <c r="B891" s="6" t="n"/>
      <c r="C891" s="6" t="n"/>
      <c r="D891" s="6" t="n"/>
      <c r="E891" s="9" t="n"/>
      <c r="F891" s="41"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c r="AA891" s="6" t="n"/>
      <c r="AB891" s="6" t="n"/>
    </row>
    <row r="892">
      <c r="A892" s="6" t="n"/>
      <c r="B892" s="6" t="n"/>
      <c r="C892" s="6" t="n"/>
      <c r="D892" s="6" t="n"/>
      <c r="E892" s="9" t="n"/>
      <c r="F892" s="41"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c r="AA892" s="6" t="n"/>
      <c r="AB892" s="6" t="n"/>
    </row>
    <row r="893">
      <c r="A893" s="6" t="n"/>
      <c r="B893" s="6" t="n"/>
      <c r="C893" s="6" t="n"/>
      <c r="D893" s="6" t="n"/>
      <c r="E893" s="9" t="n"/>
      <c r="F893" s="41"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c r="AA893" s="6" t="n"/>
      <c r="AB893" s="6" t="n"/>
    </row>
    <row r="894">
      <c r="A894" s="6" t="n"/>
      <c r="B894" s="6" t="n"/>
      <c r="C894" s="6" t="n"/>
      <c r="D894" s="6" t="n"/>
      <c r="E894" s="9" t="n"/>
      <c r="F894" s="41"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c r="AA894" s="6" t="n"/>
      <c r="AB894" s="6" t="n"/>
    </row>
    <row r="895">
      <c r="A895" s="6" t="n"/>
      <c r="B895" s="6" t="n"/>
      <c r="C895" s="6" t="n"/>
      <c r="D895" s="6" t="n"/>
      <c r="E895" s="9" t="n"/>
      <c r="F895" s="41"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c r="AA895" s="6" t="n"/>
      <c r="AB895" s="6" t="n"/>
    </row>
    <row r="896">
      <c r="A896" s="6" t="n"/>
      <c r="B896" s="6" t="n"/>
      <c r="C896" s="6" t="n"/>
      <c r="D896" s="6" t="n"/>
      <c r="E896" s="9" t="n"/>
      <c r="F896" s="41"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c r="AA896" s="6" t="n"/>
      <c r="AB896" s="6" t="n"/>
    </row>
    <row r="897">
      <c r="A897" s="6" t="n"/>
      <c r="B897" s="6" t="n"/>
      <c r="C897" s="6" t="n"/>
      <c r="D897" s="6" t="n"/>
      <c r="E897" s="9" t="n"/>
      <c r="F897" s="41"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c r="AA897" s="6" t="n"/>
      <c r="AB897" s="6" t="n"/>
    </row>
    <row r="898">
      <c r="A898" s="6" t="n"/>
      <c r="B898" s="6" t="n"/>
      <c r="C898" s="6" t="n"/>
      <c r="D898" s="6" t="n"/>
      <c r="E898" s="9" t="n"/>
      <c r="F898" s="41"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c r="AA898" s="6" t="n"/>
      <c r="AB898" s="6" t="n"/>
    </row>
    <row r="899">
      <c r="A899" s="6" t="n"/>
      <c r="B899" s="6" t="n"/>
      <c r="C899" s="6" t="n"/>
      <c r="D899" s="6" t="n"/>
      <c r="E899" s="9" t="n"/>
      <c r="F899" s="41"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c r="AA899" s="6" t="n"/>
      <c r="AB899" s="6" t="n"/>
    </row>
    <row r="900">
      <c r="A900" s="6" t="n"/>
      <c r="B900" s="6" t="n"/>
      <c r="C900" s="6" t="n"/>
      <c r="D900" s="6" t="n"/>
      <c r="E900" s="9" t="n"/>
      <c r="F900" s="41"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c r="AA900" s="6" t="n"/>
      <c r="AB900" s="6" t="n"/>
    </row>
    <row r="901">
      <c r="A901" s="6" t="n"/>
      <c r="B901" s="6" t="n"/>
      <c r="C901" s="6" t="n"/>
      <c r="D901" s="6" t="n"/>
      <c r="E901" s="9" t="n"/>
      <c r="F901" s="41"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c r="AA901" s="6" t="n"/>
      <c r="AB901" s="6" t="n"/>
    </row>
    <row r="902">
      <c r="A902" s="6" t="n"/>
      <c r="B902" s="6" t="n"/>
      <c r="C902" s="6" t="n"/>
      <c r="D902" s="6" t="n"/>
      <c r="E902" s="9" t="n"/>
      <c r="F902" s="41"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c r="AA902" s="6" t="n"/>
      <c r="AB902" s="6" t="n"/>
    </row>
    <row r="903">
      <c r="A903" s="6" t="n"/>
      <c r="B903" s="6" t="n"/>
      <c r="C903" s="6" t="n"/>
      <c r="D903" s="6" t="n"/>
      <c r="E903" s="9" t="n"/>
      <c r="F903" s="41"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c r="AA903" s="6" t="n"/>
      <c r="AB903" s="6" t="n"/>
    </row>
    <row r="904">
      <c r="A904" s="6" t="n"/>
      <c r="B904" s="6" t="n"/>
      <c r="C904" s="6" t="n"/>
      <c r="D904" s="6" t="n"/>
      <c r="E904" s="9" t="n"/>
      <c r="F904" s="41"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c r="AA904" s="6" t="n"/>
      <c r="AB904" s="6" t="n"/>
    </row>
    <row r="905">
      <c r="A905" s="6" t="n"/>
      <c r="B905" s="6" t="n"/>
      <c r="C905" s="6" t="n"/>
      <c r="D905" s="6" t="n"/>
      <c r="E905" s="9" t="n"/>
      <c r="F905" s="41"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c r="AA905" s="6" t="n"/>
      <c r="AB905" s="6" t="n"/>
    </row>
    <row r="906">
      <c r="A906" s="6" t="n"/>
      <c r="B906" s="6" t="n"/>
      <c r="C906" s="6" t="n"/>
      <c r="D906" s="6" t="n"/>
      <c r="E906" s="9" t="n"/>
      <c r="F906" s="41"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c r="AA906" s="6" t="n"/>
      <c r="AB906" s="6" t="n"/>
    </row>
    <row r="907">
      <c r="A907" s="6" t="n"/>
      <c r="B907" s="6" t="n"/>
      <c r="C907" s="6" t="n"/>
      <c r="D907" s="6" t="n"/>
      <c r="E907" s="9" t="n"/>
      <c r="F907" s="41"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c r="AA907" s="6" t="n"/>
      <c r="AB907" s="6" t="n"/>
    </row>
    <row r="908">
      <c r="A908" s="6" t="n"/>
      <c r="B908" s="6" t="n"/>
      <c r="C908" s="6" t="n"/>
      <c r="D908" s="6" t="n"/>
      <c r="E908" s="9" t="n"/>
      <c r="F908" s="41"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c r="AA908" s="6" t="n"/>
      <c r="AB908" s="6" t="n"/>
    </row>
    <row r="909">
      <c r="A909" s="6" t="n"/>
      <c r="B909" s="6" t="n"/>
      <c r="C909" s="6" t="n"/>
      <c r="D909" s="6" t="n"/>
      <c r="E909" s="9" t="n"/>
      <c r="F909" s="41"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c r="AA909" s="6" t="n"/>
      <c r="AB909" s="6" t="n"/>
    </row>
    <row r="910">
      <c r="A910" s="6" t="n"/>
      <c r="B910" s="6" t="n"/>
      <c r="C910" s="6" t="n"/>
      <c r="D910" s="6" t="n"/>
      <c r="E910" s="9" t="n"/>
      <c r="F910" s="41"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c r="AA910" s="6" t="n"/>
      <c r="AB910" s="6" t="n"/>
    </row>
    <row r="911">
      <c r="A911" s="6" t="n"/>
      <c r="B911" s="6" t="n"/>
      <c r="C911" s="6" t="n"/>
      <c r="D911" s="6" t="n"/>
      <c r="E911" s="9" t="n"/>
      <c r="F911" s="41"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c r="AA911" s="6" t="n"/>
      <c r="AB911" s="6" t="n"/>
    </row>
    <row r="912">
      <c r="A912" s="6" t="n"/>
      <c r="B912" s="6" t="n"/>
      <c r="C912" s="6" t="n"/>
      <c r="D912" s="6" t="n"/>
      <c r="E912" s="9" t="n"/>
      <c r="F912" s="41"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c r="AA912" s="6" t="n"/>
      <c r="AB912" s="6" t="n"/>
    </row>
    <row r="913">
      <c r="A913" s="6" t="n"/>
      <c r="B913" s="6" t="n"/>
      <c r="C913" s="6" t="n"/>
      <c r="D913" s="6" t="n"/>
      <c r="E913" s="9" t="n"/>
      <c r="F913" s="41"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c r="AA913" s="6" t="n"/>
      <c r="AB913" s="6" t="n"/>
    </row>
    <row r="914">
      <c r="A914" s="6" t="n"/>
      <c r="B914" s="6" t="n"/>
      <c r="C914" s="6" t="n"/>
      <c r="D914" s="6" t="n"/>
      <c r="E914" s="9" t="n"/>
      <c r="F914" s="41"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c r="AA914" s="6" t="n"/>
      <c r="AB914" s="6" t="n"/>
    </row>
    <row r="915">
      <c r="A915" s="6" t="n"/>
      <c r="B915" s="6" t="n"/>
      <c r="C915" s="6" t="n"/>
      <c r="D915" s="6" t="n"/>
      <c r="E915" s="9" t="n"/>
      <c r="F915" s="41"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c r="AA915" s="6" t="n"/>
      <c r="AB915" s="6" t="n"/>
    </row>
    <row r="916">
      <c r="A916" s="6" t="n"/>
      <c r="B916" s="6" t="n"/>
      <c r="C916" s="6" t="n"/>
      <c r="D916" s="6" t="n"/>
      <c r="E916" s="9" t="n"/>
      <c r="F916" s="41"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c r="AA916" s="6" t="n"/>
      <c r="AB916" s="6" t="n"/>
    </row>
    <row r="917">
      <c r="A917" s="6" t="n"/>
      <c r="B917" s="6" t="n"/>
      <c r="C917" s="6" t="n"/>
      <c r="D917" s="6" t="n"/>
      <c r="E917" s="9" t="n"/>
      <c r="F917" s="41"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c r="AA917" s="6" t="n"/>
      <c r="AB917" s="6" t="n"/>
    </row>
    <row r="918">
      <c r="A918" s="6" t="n"/>
      <c r="B918" s="6" t="n"/>
      <c r="C918" s="6" t="n"/>
      <c r="D918" s="6" t="n"/>
      <c r="E918" s="9" t="n"/>
      <c r="F918" s="41"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c r="AA918" s="6" t="n"/>
      <c r="AB918" s="6" t="n"/>
    </row>
    <row r="919">
      <c r="A919" s="6" t="n"/>
      <c r="B919" s="6" t="n"/>
      <c r="C919" s="6" t="n"/>
      <c r="D919" s="6" t="n"/>
      <c r="E919" s="9" t="n"/>
      <c r="F919" s="41"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c r="AA919" s="6" t="n"/>
      <c r="AB919" s="6" t="n"/>
    </row>
    <row r="920">
      <c r="A920" s="6" t="n"/>
      <c r="B920" s="6" t="n"/>
      <c r="C920" s="6" t="n"/>
      <c r="D920" s="6" t="n"/>
      <c r="E920" s="9" t="n"/>
      <c r="F920" s="41"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c r="AA920" s="6" t="n"/>
      <c r="AB920" s="6" t="n"/>
    </row>
    <row r="921">
      <c r="A921" s="6" t="n"/>
      <c r="B921" s="6" t="n"/>
      <c r="C921" s="6" t="n"/>
      <c r="D921" s="6" t="n"/>
      <c r="E921" s="9" t="n"/>
      <c r="F921" s="41"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c r="AA921" s="6" t="n"/>
      <c r="AB921" s="6" t="n"/>
    </row>
    <row r="922">
      <c r="A922" s="6" t="n"/>
      <c r="B922" s="6" t="n"/>
      <c r="C922" s="6" t="n"/>
      <c r="D922" s="6" t="n"/>
      <c r="E922" s="9" t="n"/>
      <c r="F922" s="41"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c r="AA922" s="6" t="n"/>
      <c r="AB922" s="6" t="n"/>
    </row>
    <row r="923">
      <c r="A923" s="6" t="n"/>
      <c r="B923" s="6" t="n"/>
      <c r="C923" s="6" t="n"/>
      <c r="D923" s="6" t="n"/>
      <c r="E923" s="9" t="n"/>
      <c r="F923" s="41"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c r="AA923" s="6" t="n"/>
      <c r="AB923" s="6" t="n"/>
    </row>
    <row r="924">
      <c r="A924" s="6" t="n"/>
      <c r="B924" s="6" t="n"/>
      <c r="C924" s="6" t="n"/>
      <c r="D924" s="6" t="n"/>
      <c r="E924" s="9" t="n"/>
      <c r="F924" s="41"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c r="AA924" s="6" t="n"/>
      <c r="AB924" s="6" t="n"/>
    </row>
    <row r="925">
      <c r="A925" s="6" t="n"/>
      <c r="B925" s="6" t="n"/>
      <c r="C925" s="6" t="n"/>
      <c r="D925" s="6" t="n"/>
      <c r="E925" s="9" t="n"/>
      <c r="F925" s="41"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c r="AA925" s="6" t="n"/>
      <c r="AB925" s="6" t="n"/>
    </row>
    <row r="926">
      <c r="A926" s="6" t="n"/>
      <c r="B926" s="6" t="n"/>
      <c r="C926" s="6" t="n"/>
      <c r="D926" s="6" t="n"/>
      <c r="E926" s="9" t="n"/>
      <c r="F926" s="41"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c r="AA926" s="6" t="n"/>
      <c r="AB926" s="6" t="n"/>
    </row>
    <row r="927">
      <c r="A927" s="6" t="n"/>
      <c r="B927" s="6" t="n"/>
      <c r="C927" s="6" t="n"/>
      <c r="D927" s="6" t="n"/>
      <c r="E927" s="9" t="n"/>
      <c r="F927" s="41"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c r="AA927" s="6" t="n"/>
      <c r="AB927" s="6" t="n"/>
    </row>
    <row r="928">
      <c r="A928" s="6" t="n"/>
      <c r="B928" s="6" t="n"/>
      <c r="C928" s="6" t="n"/>
      <c r="D928" s="6" t="n"/>
      <c r="E928" s="9" t="n"/>
      <c r="F928" s="41"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c r="AA928" s="6" t="n"/>
      <c r="AB928" s="6" t="n"/>
    </row>
    <row r="929">
      <c r="A929" s="6" t="n"/>
      <c r="B929" s="6" t="n"/>
      <c r="C929" s="6" t="n"/>
      <c r="D929" s="6" t="n"/>
      <c r="E929" s="9" t="n"/>
      <c r="F929" s="41"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c r="AA929" s="6" t="n"/>
      <c r="AB929" s="6" t="n"/>
    </row>
    <row r="930">
      <c r="A930" s="6" t="n"/>
      <c r="B930" s="6" t="n"/>
      <c r="C930" s="6" t="n"/>
      <c r="D930" s="6" t="n"/>
      <c r="E930" s="9" t="n"/>
      <c r="F930" s="41"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c r="AA930" s="6" t="n"/>
      <c r="AB930" s="6" t="n"/>
    </row>
    <row r="931">
      <c r="A931" s="6" t="n"/>
      <c r="B931" s="6" t="n"/>
      <c r="C931" s="6" t="n"/>
      <c r="D931" s="6" t="n"/>
      <c r="E931" s="9" t="n"/>
      <c r="F931" s="41"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c r="AA931" s="6" t="n"/>
      <c r="AB931" s="6" t="n"/>
    </row>
    <row r="932">
      <c r="A932" s="6" t="n"/>
      <c r="B932" s="6" t="n"/>
      <c r="C932" s="6" t="n"/>
      <c r="D932" s="6" t="n"/>
      <c r="E932" s="9" t="n"/>
      <c r="F932" s="41"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c r="AA932" s="6" t="n"/>
      <c r="AB932" s="6" t="n"/>
    </row>
    <row r="933">
      <c r="A933" s="6" t="n"/>
      <c r="B933" s="6" t="n"/>
      <c r="C933" s="6" t="n"/>
      <c r="D933" s="6" t="n"/>
      <c r="E933" s="9" t="n"/>
      <c r="F933" s="41"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c r="AA933" s="6" t="n"/>
      <c r="AB933" s="6" t="n"/>
    </row>
    <row r="934">
      <c r="A934" s="6" t="n"/>
      <c r="B934" s="6" t="n"/>
      <c r="C934" s="6" t="n"/>
      <c r="D934" s="6" t="n"/>
      <c r="E934" s="9" t="n"/>
      <c r="F934" s="41"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c r="AA934" s="6" t="n"/>
      <c r="AB934" s="6" t="n"/>
    </row>
    <row r="935">
      <c r="A935" s="6" t="n"/>
      <c r="B935" s="6" t="n"/>
      <c r="C935" s="6" t="n"/>
      <c r="D935" s="6" t="n"/>
      <c r="E935" s="9" t="n"/>
      <c r="F935" s="41"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c r="AA935" s="6" t="n"/>
      <c r="AB935" s="6" t="n"/>
    </row>
    <row r="936">
      <c r="A936" s="6" t="n"/>
      <c r="B936" s="6" t="n"/>
      <c r="C936" s="6" t="n"/>
      <c r="D936" s="6" t="n"/>
      <c r="E936" s="9" t="n"/>
      <c r="F936" s="41"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c r="AA936" s="6" t="n"/>
      <c r="AB936" s="6" t="n"/>
    </row>
    <row r="937">
      <c r="A937" s="6" t="n"/>
      <c r="B937" s="6" t="n"/>
      <c r="C937" s="6" t="n"/>
      <c r="D937" s="6" t="n"/>
      <c r="E937" s="9" t="n"/>
      <c r="F937" s="41"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c r="AA937" s="6" t="n"/>
      <c r="AB937" s="6" t="n"/>
    </row>
    <row r="938">
      <c r="A938" s="6" t="n"/>
      <c r="B938" s="6" t="n"/>
      <c r="C938" s="6" t="n"/>
      <c r="D938" s="6" t="n"/>
      <c r="E938" s="9" t="n"/>
      <c r="F938" s="41"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c r="AA938" s="6" t="n"/>
      <c r="AB938" s="6" t="n"/>
    </row>
    <row r="939">
      <c r="A939" s="6" t="n"/>
      <c r="B939" s="6" t="n"/>
      <c r="C939" s="6" t="n"/>
      <c r="D939" s="6" t="n"/>
      <c r="E939" s="9" t="n"/>
      <c r="F939" s="41"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c r="AA939" s="6" t="n"/>
      <c r="AB939" s="6" t="n"/>
    </row>
    <row r="940">
      <c r="A940" s="6" t="n"/>
      <c r="B940" s="6" t="n"/>
      <c r="C940" s="6" t="n"/>
      <c r="D940" s="6" t="n"/>
      <c r="E940" s="9" t="n"/>
      <c r="F940" s="41"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c r="AA940" s="6" t="n"/>
      <c r="AB940" s="6" t="n"/>
    </row>
    <row r="941">
      <c r="A941" s="6" t="n"/>
      <c r="B941" s="6" t="n"/>
      <c r="C941" s="6" t="n"/>
      <c r="D941" s="6" t="n"/>
      <c r="E941" s="9" t="n"/>
      <c r="F941" s="41"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c r="AA941" s="6" t="n"/>
      <c r="AB941" s="6" t="n"/>
    </row>
    <row r="942">
      <c r="A942" s="6" t="n"/>
      <c r="B942" s="6" t="n"/>
      <c r="C942" s="6" t="n"/>
      <c r="D942" s="6" t="n"/>
      <c r="E942" s="9" t="n"/>
      <c r="F942" s="41"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c r="AA942" s="6" t="n"/>
      <c r="AB942" s="6" t="n"/>
    </row>
    <row r="943">
      <c r="A943" s="6" t="n"/>
      <c r="B943" s="6" t="n"/>
      <c r="C943" s="6" t="n"/>
      <c r="D943" s="6" t="n"/>
      <c r="E943" s="9" t="n"/>
      <c r="F943" s="41"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c r="AA943" s="6" t="n"/>
      <c r="AB943" s="6" t="n"/>
    </row>
    <row r="944">
      <c r="A944" s="6" t="n"/>
      <c r="B944" s="6" t="n"/>
      <c r="C944" s="6" t="n"/>
      <c r="D944" s="6" t="n"/>
      <c r="E944" s="9" t="n"/>
      <c r="F944" s="41"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c r="AA944" s="6" t="n"/>
      <c r="AB944" s="6" t="n"/>
    </row>
    <row r="945">
      <c r="A945" s="6" t="n"/>
      <c r="B945" s="6" t="n"/>
      <c r="C945" s="6" t="n"/>
      <c r="D945" s="6" t="n"/>
      <c r="E945" s="9" t="n"/>
      <c r="F945" s="41"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c r="AA945" s="6" t="n"/>
      <c r="AB945" s="6" t="n"/>
    </row>
    <row r="946">
      <c r="A946" s="6" t="n"/>
      <c r="B946" s="6" t="n"/>
      <c r="C946" s="6" t="n"/>
      <c r="D946" s="6" t="n"/>
      <c r="E946" s="9" t="n"/>
      <c r="F946" s="41"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c r="AA946" s="6" t="n"/>
      <c r="AB946" s="6" t="n"/>
    </row>
    <row r="947">
      <c r="A947" s="6" t="n"/>
      <c r="B947" s="6" t="n"/>
      <c r="C947" s="6" t="n"/>
      <c r="D947" s="6" t="n"/>
      <c r="E947" s="9" t="n"/>
      <c r="F947" s="41"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c r="AA947" s="6" t="n"/>
      <c r="AB947" s="6" t="n"/>
    </row>
    <row r="948">
      <c r="A948" s="6" t="n"/>
      <c r="B948" s="6" t="n"/>
      <c r="C948" s="6" t="n"/>
      <c r="D948" s="6" t="n"/>
      <c r="E948" s="9" t="n"/>
      <c r="F948" s="41"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c r="AA948" s="6" t="n"/>
      <c r="AB948" s="6" t="n"/>
    </row>
    <row r="949">
      <c r="A949" s="6" t="n"/>
      <c r="B949" s="6" t="n"/>
      <c r="C949" s="6" t="n"/>
      <c r="D949" s="6" t="n"/>
      <c r="E949" s="9" t="n"/>
      <c r="F949" s="41"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c r="AA949" s="6" t="n"/>
      <c r="AB949" s="6" t="n"/>
    </row>
    <row r="950">
      <c r="A950" s="6" t="n"/>
      <c r="B950" s="6" t="n"/>
      <c r="C950" s="6" t="n"/>
      <c r="D950" s="6" t="n"/>
      <c r="E950" s="9" t="n"/>
      <c r="F950" s="41"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c r="AA950" s="6" t="n"/>
      <c r="AB950" s="6" t="n"/>
    </row>
    <row r="951">
      <c r="A951" s="6" t="n"/>
      <c r="B951" s="6" t="n"/>
      <c r="C951" s="6" t="n"/>
      <c r="D951" s="6" t="n"/>
      <c r="E951" s="9" t="n"/>
      <c r="F951" s="41"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c r="AA951" s="6" t="n"/>
      <c r="AB951" s="6" t="n"/>
    </row>
    <row r="952">
      <c r="A952" s="6" t="n"/>
      <c r="B952" s="6" t="n"/>
      <c r="C952" s="6" t="n"/>
      <c r="D952" s="6" t="n"/>
      <c r="E952" s="9" t="n"/>
      <c r="F952" s="41"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c r="AA952" s="6" t="n"/>
      <c r="AB952" s="6" t="n"/>
    </row>
  </sheetData>
  <mergeCells count="5">
    <mergeCell ref="E4:H4"/>
    <mergeCell ref="A2:A6"/>
    <mergeCell ref="J11:P11"/>
    <mergeCell ref="J16:P16"/>
    <mergeCell ref="A11:C56"/>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6"/>
  <sheetViews>
    <sheetView workbookViewId="0">
      <pane ySplit="2" topLeftCell="A3" activePane="bottomLeft" state="frozen"/>
      <selection pane="bottomLeft" activeCell="B4" sqref="B4"/>
    </sheetView>
  </sheetViews>
  <sheetFormatPr baseColWidth="8" defaultColWidth="12.63" defaultRowHeight="15.75" customHeight="1"/>
  <cols>
    <col width="49.5" customWidth="1" style="82" min="8" max="8"/>
  </cols>
  <sheetData>
    <row r="1">
      <c r="A1" s="125" t="inlineStr">
        <is>
          <t>CAPEX</t>
        </is>
      </c>
      <c r="B1" s="121" t="n"/>
      <c r="C1" s="121" t="n"/>
      <c r="D1" s="121" t="n"/>
      <c r="E1" s="121" t="n"/>
      <c r="F1" s="121" t="n"/>
      <c r="G1" s="121" t="n"/>
      <c r="H1" s="122" t="n"/>
      <c r="I1" s="15" t="n"/>
      <c r="J1" s="15" t="n"/>
      <c r="K1" s="15" t="n"/>
      <c r="L1" s="15" t="n"/>
      <c r="M1" s="15" t="n"/>
      <c r="N1" s="15" t="n"/>
      <c r="O1" s="15" t="n"/>
      <c r="P1" s="15" t="n"/>
      <c r="Q1" s="15" t="n"/>
      <c r="R1" s="15" t="n"/>
      <c r="S1" s="15" t="n"/>
      <c r="T1" s="15" t="n"/>
      <c r="U1" s="15" t="n"/>
      <c r="V1" s="15" t="n"/>
      <c r="W1" s="15" t="n"/>
      <c r="X1" s="15" t="n"/>
      <c r="Y1" s="15" t="n"/>
      <c r="Z1" s="15" t="n"/>
    </row>
    <row r="2">
      <c r="A2" s="27" t="inlineStr">
        <is>
          <t>Name of Capitals</t>
        </is>
      </c>
      <c r="B2" s="121" t="n"/>
      <c r="C2" s="122" t="n"/>
      <c r="D2" s="23" t="inlineStr">
        <is>
          <t>Units</t>
        </is>
      </c>
      <c r="E2" s="23" t="inlineStr">
        <is>
          <t>Quantity</t>
        </is>
      </c>
      <c r="F2" s="24" t="inlineStr">
        <is>
          <t>Price (VND)</t>
        </is>
      </c>
      <c r="G2" s="24" t="inlineStr">
        <is>
          <t>Total (VND)</t>
        </is>
      </c>
      <c r="H2" s="27" t="inlineStr">
        <is>
          <t>Note</t>
        </is>
      </c>
      <c r="I2" s="15" t="n"/>
      <c r="J2" s="15" t="n"/>
      <c r="K2" s="15" t="n"/>
      <c r="L2" s="15" t="n"/>
      <c r="M2" s="15" t="n"/>
      <c r="N2" s="15" t="n"/>
      <c r="O2" s="15" t="n"/>
      <c r="P2" s="15" t="n"/>
      <c r="Q2" s="15" t="n"/>
      <c r="R2" s="15" t="n"/>
      <c r="S2" s="15" t="n"/>
      <c r="T2" s="15" t="n"/>
      <c r="U2" s="15" t="n"/>
      <c r="V2" s="15" t="n"/>
      <c r="W2" s="15" t="n"/>
      <c r="X2" s="15" t="n"/>
      <c r="Y2" s="15" t="n"/>
      <c r="Z2" s="15" t="n"/>
    </row>
    <row r="3">
      <c r="A3" s="126" t="inlineStr">
        <is>
          <t>1. Phát triển sản phẩm/công nghệ</t>
        </is>
      </c>
      <c r="B3" s="121" t="n"/>
      <c r="C3" s="121" t="n"/>
      <c r="D3" s="121" t="n"/>
      <c r="E3" s="121" t="n"/>
      <c r="F3" s="121" t="n"/>
      <c r="G3" s="121" t="n"/>
      <c r="H3" s="122" t="n"/>
      <c r="I3" s="15" t="n"/>
      <c r="J3" s="15" t="n"/>
      <c r="K3" s="15" t="n"/>
      <c r="L3" s="15" t="n"/>
      <c r="M3" s="15" t="n"/>
      <c r="N3" s="15" t="n"/>
      <c r="O3" s="15" t="n"/>
      <c r="P3" s="15" t="n"/>
      <c r="Q3" s="15" t="n"/>
      <c r="R3" s="15" t="n"/>
      <c r="S3" s="15" t="n"/>
      <c r="T3" s="15" t="n"/>
      <c r="U3" s="15" t="n"/>
      <c r="V3" s="15" t="n"/>
      <c r="W3" s="15" t="n"/>
      <c r="X3" s="15" t="n"/>
      <c r="Y3" s="15" t="n"/>
      <c r="Z3" s="15" t="n"/>
    </row>
    <row r="4">
      <c r="A4" s="33" t="inlineStr">
        <is>
          <t>Chi phí lập trình xây dựng nền tảng (web + app di động cho tài xế)</t>
        </is>
      </c>
      <c r="B4" s="121" t="n"/>
      <c r="C4" s="122" t="n"/>
      <c r="D4" s="33" t="inlineStr">
        <is>
          <t>Gói MVP</t>
        </is>
      </c>
      <c r="E4" s="33" t="n">
        <v>1</v>
      </c>
      <c r="F4" s="33" t="n">
        <v>45000000</v>
      </c>
      <c r="G4" s="33">
        <f>E4*F4</f>
        <v/>
      </c>
      <c r="H4" s="33" t="inlineStr">
        <is>
          <t>Xây dựng Web Điều phối + App di động Flutter cho tài xế (3-4 tháng MVP, 2 dev core)</t>
        </is>
      </c>
      <c r="I4" s="15" t="n"/>
      <c r="J4" s="15" t="n"/>
      <c r="K4" s="15" t="n"/>
      <c r="L4" s="15" t="n"/>
      <c r="M4" s="15" t="n"/>
      <c r="N4" s="15" t="n"/>
      <c r="O4" s="15" t="n"/>
      <c r="P4" s="15" t="n"/>
      <c r="Q4" s="15" t="n"/>
      <c r="R4" s="15" t="n"/>
      <c r="S4" s="15" t="n"/>
      <c r="T4" s="15" t="n"/>
      <c r="U4" s="15" t="n"/>
      <c r="V4" s="15" t="n"/>
      <c r="W4" s="15" t="n"/>
      <c r="X4" s="15" t="n"/>
      <c r="Y4" s="15" t="n"/>
      <c r="Z4" s="15" t="n"/>
    </row>
    <row r="5">
      <c r="A5" s="33" t="inlineStr">
        <is>
          <t>Chi phí thiết kế UI/UX</t>
        </is>
      </c>
      <c r="B5" s="121" t="n"/>
      <c r="C5" s="122" t="n"/>
      <c r="D5" s="33" t="inlineStr">
        <is>
          <t>Gói thiết kế</t>
        </is>
      </c>
      <c r="E5" s="33" t="n">
        <v>1</v>
      </c>
      <c r="F5" s="33" t="n">
        <v>10000000</v>
      </c>
      <c r="G5" s="33">
        <f>E5*F5</f>
        <v/>
      </c>
      <c r="H5" s="33" t="inlineStr">
        <is>
          <t>Hệ thống Figma: Web Portal Điều phối, App Tài xế, Dashboard Báo cáo CO2</t>
        </is>
      </c>
      <c r="I5" s="15" t="n"/>
      <c r="J5" s="15" t="n"/>
      <c r="K5" s="15" t="n"/>
      <c r="L5" s="15" t="n"/>
      <c r="M5" s="15" t="n"/>
      <c r="N5" s="15" t="n"/>
      <c r="O5" s="15" t="n"/>
      <c r="P5" s="15" t="n"/>
      <c r="Q5" s="15" t="n"/>
      <c r="R5" s="15" t="n"/>
      <c r="S5" s="15" t="n"/>
      <c r="T5" s="15" t="n"/>
      <c r="U5" s="15" t="n"/>
      <c r="V5" s="15" t="n"/>
      <c r="W5" s="15" t="n"/>
      <c r="X5" s="15" t="n"/>
      <c r="Y5" s="15" t="n"/>
      <c r="Z5" s="15" t="n"/>
    </row>
    <row r="6">
      <c r="A6" s="33" t="inlineStr">
        <is>
          <t>Chi phí xây dựng thuật toán tối ưu tuyến (VRP) ban đầu</t>
        </is>
      </c>
      <c r="B6" s="121" t="n"/>
      <c r="C6" s="122" t="n"/>
      <c r="D6" s="33" t="inlineStr">
        <is>
          <t>Module Core</t>
        </is>
      </c>
      <c r="E6" s="33" t="n">
        <v>1</v>
      </c>
      <c r="F6" s="33" t="n">
        <v>20000000</v>
      </c>
      <c r="G6" s="33">
        <f>E6*F6</f>
        <v/>
      </c>
      <c r="H6" s="33" t="inlineStr">
        <is>
          <t>Giải thuật VRPTW đa điểm kết hợp ràng buộc tải trọng xe, khung giờ giao &amp; tình trạng giao thông</t>
        </is>
      </c>
      <c r="I6" s="15" t="n"/>
      <c r="J6" s="15" t="n"/>
      <c r="K6" s="15" t="n"/>
      <c r="L6" s="15" t="n"/>
      <c r="M6" s="15" t="n"/>
      <c r="N6" s="15" t="n"/>
      <c r="O6" s="15" t="n"/>
      <c r="P6" s="15" t="n"/>
      <c r="Q6" s="15" t="n"/>
      <c r="R6" s="15" t="n"/>
      <c r="S6" s="15" t="n"/>
      <c r="T6" s="15" t="n"/>
      <c r="U6" s="15" t="n"/>
      <c r="V6" s="15" t="n"/>
      <c r="W6" s="15" t="n"/>
      <c r="X6" s="15" t="n"/>
      <c r="Y6" s="15" t="n"/>
      <c r="Z6" s="15" t="n"/>
    </row>
    <row r="7">
      <c r="A7" s="33" t="inlineStr">
        <is>
          <t>Chi phí tích hợp API bản đồ/GPS/giao thông lần đầu (setup fee nếu có)</t>
        </is>
      </c>
      <c r="B7" s="121" t="n"/>
      <c r="C7" s="122" t="n"/>
      <c r="D7" s="33" t="inlineStr">
        <is>
          <t>Lần tích hợp</t>
        </is>
      </c>
      <c r="E7" s="33" t="n">
        <v>1</v>
      </c>
      <c r="F7" s="33" t="n">
        <v>4000000</v>
      </c>
      <c r="G7" s="33">
        <f>E7*F7</f>
        <v/>
      </c>
      <c r="H7" s="33" t="inlineStr">
        <is>
          <t>Setup fee, SDK integration, Webhook kết nối dữ liệu GPS và API bản đồ Goong/Mapbox</t>
        </is>
      </c>
      <c r="I7" s="15" t="n"/>
      <c r="J7" s="15" t="n"/>
      <c r="K7" s="15" t="n"/>
      <c r="L7" s="15" t="n"/>
      <c r="M7" s="15" t="n"/>
      <c r="N7" s="15" t="n"/>
      <c r="O7" s="15" t="n"/>
      <c r="P7" s="15" t="n"/>
      <c r="Q7" s="15" t="n"/>
      <c r="R7" s="15" t="n"/>
      <c r="S7" s="15" t="n"/>
      <c r="T7" s="15" t="n"/>
      <c r="U7" s="15" t="n"/>
      <c r="V7" s="15" t="n"/>
      <c r="W7" s="15" t="n"/>
      <c r="X7" s="15" t="n"/>
      <c r="Y7" s="15" t="n"/>
      <c r="Z7" s="15" t="n"/>
    </row>
    <row r="8">
      <c r="A8" s="33" t="inlineStr">
        <is>
          <t>Chi phí xây dựng dashboard phân tích, báo cáo CO₂</t>
        </is>
      </c>
      <c r="B8" s="121" t="n"/>
      <c r="C8" s="122" t="n"/>
      <c r="D8" s="33" t="inlineStr">
        <is>
          <t>Module Dashboard</t>
        </is>
      </c>
      <c r="E8" s="33" t="n">
        <v>1</v>
      </c>
      <c r="F8" s="33" t="n">
        <v>12000000</v>
      </c>
      <c r="G8" s="33">
        <f>E8*F8</f>
        <v/>
      </c>
      <c r="H8" s="33" t="inlineStr">
        <is>
          <t>Dashboard phân tích phát thải chuẩn GLEC Framework v3.0 / ISO 14083:2023 / GHG Protocol</t>
        </is>
      </c>
      <c r="I8" s="15" t="n"/>
      <c r="J8" s="15" t="n"/>
      <c r="K8" s="15" t="n"/>
      <c r="L8" s="15" t="n"/>
      <c r="M8" s="15" t="n"/>
      <c r="N8" s="15" t="n"/>
      <c r="O8" s="15" t="n"/>
      <c r="P8" s="15" t="n"/>
      <c r="Q8" s="15" t="n"/>
      <c r="R8" s="15" t="n"/>
      <c r="S8" s="15" t="n"/>
      <c r="T8" s="15" t="n"/>
      <c r="U8" s="15" t="n"/>
      <c r="V8" s="15" t="n"/>
      <c r="W8" s="15" t="n"/>
      <c r="X8" s="15" t="n"/>
      <c r="Y8" s="15" t="n"/>
      <c r="Z8" s="15" t="n"/>
    </row>
    <row r="9">
      <c r="A9" s="33" t="inlineStr">
        <is>
          <t>Chi phí kiểm thử (QA/testing) trước khi ra mắt</t>
        </is>
      </c>
      <c r="B9" s="121" t="n"/>
      <c r="C9" s="122" t="n"/>
      <c r="D9" s="33" t="inlineStr">
        <is>
          <t>Gói QA/QC</t>
        </is>
      </c>
      <c r="E9" s="33" t="n">
        <v>1</v>
      </c>
      <c r="F9" s="33" t="n">
        <v>6000000</v>
      </c>
      <c r="G9" s="33">
        <f>E9*F9</f>
        <v/>
      </c>
      <c r="H9" s="33" t="inlineStr">
        <is>
          <t>Manual QA test kịch bản bưu cục + Automated Load Testing 500 CCU tài xế</t>
        </is>
      </c>
      <c r="I9" s="15" t="n"/>
      <c r="J9" s="15" t="n"/>
      <c r="K9" s="15" t="n"/>
      <c r="L9" s="15" t="n"/>
      <c r="M9" s="15" t="n"/>
      <c r="N9" s="15" t="n"/>
      <c r="O9" s="15" t="n"/>
      <c r="P9" s="15" t="n"/>
      <c r="Q9" s="15" t="n"/>
      <c r="R9" s="15" t="n"/>
      <c r="S9" s="15" t="n"/>
      <c r="T9" s="15" t="n"/>
      <c r="U9" s="15" t="n"/>
      <c r="V9" s="15" t="n"/>
      <c r="W9" s="15" t="n"/>
      <c r="X9" s="15" t="n"/>
      <c r="Y9" s="15" t="n"/>
      <c r="Z9" s="15" t="n"/>
    </row>
    <row r="10">
      <c r="A10" s="126" t="inlineStr">
        <is>
          <t>2. Hạ tầng kỹ thuật</t>
        </is>
      </c>
      <c r="B10" s="121" t="n"/>
      <c r="C10" s="121" t="n"/>
      <c r="D10" s="121" t="n"/>
      <c r="E10" s="121" t="n"/>
      <c r="F10" s="121" t="n"/>
      <c r="G10" s="121" t="n"/>
      <c r="H10" s="122" t="n"/>
      <c r="I10" s="15" t="n"/>
      <c r="J10" s="15" t="n"/>
      <c r="K10" s="15" t="n"/>
      <c r="L10" s="15" t="n"/>
      <c r="M10" s="15" t="n"/>
      <c r="N10" s="15" t="n"/>
      <c r="O10" s="15" t="n"/>
      <c r="P10" s="15" t="n"/>
      <c r="Q10" s="15" t="n"/>
      <c r="R10" s="15" t="n"/>
      <c r="S10" s="15" t="n"/>
      <c r="T10" s="15" t="n"/>
      <c r="U10" s="15" t="n"/>
      <c r="V10" s="15" t="n"/>
      <c r="W10" s="15" t="n"/>
      <c r="X10" s="15" t="n"/>
      <c r="Y10" s="15" t="n"/>
      <c r="Z10" s="15" t="n"/>
    </row>
    <row r="11">
      <c r="A11" s="33" t="inlineStr">
        <is>
          <t>Mua/thiết lập server (nếu không dùng cloud pay-as-you-go)</t>
        </is>
      </c>
      <c r="B11" s="121" t="n"/>
      <c r="C11" s="122" t="n"/>
      <c r="D11" s="33" t="inlineStr">
        <is>
          <t>Gói setup</t>
        </is>
      </c>
      <c r="E11" s="33" t="n">
        <v>1</v>
      </c>
      <c r="F11" s="33" t="n">
        <v>3500000</v>
      </c>
      <c r="G11" s="33">
        <f>E11*F11</f>
        <v/>
      </c>
      <c r="H11" s="33" t="inlineStr">
        <is>
          <t>Khởi tạo cụm Docker/K8s, VPC mạng riêng an toàn, CI/CD GitHub Actions deploy</t>
        </is>
      </c>
      <c r="I11" s="15" t="n"/>
      <c r="J11" s="15" t="n"/>
      <c r="K11" s="15" t="n"/>
      <c r="L11" s="15" t="n"/>
      <c r="M11" s="15" t="n"/>
      <c r="N11" s="15" t="n"/>
      <c r="O11" s="15" t="n"/>
      <c r="P11" s="15" t="n"/>
      <c r="Q11" s="15" t="n"/>
      <c r="R11" s="15" t="n"/>
      <c r="S11" s="15" t="n"/>
      <c r="T11" s="15" t="n"/>
      <c r="U11" s="15" t="n"/>
      <c r="V11" s="15" t="n"/>
      <c r="W11" s="15" t="n"/>
      <c r="X11" s="15" t="n"/>
      <c r="Y11" s="15" t="n"/>
      <c r="Z11" s="15" t="n"/>
    </row>
    <row r="12">
      <c r="A12" s="33" t="inlineStr">
        <is>
          <t>Thiết lập cơ sở dữ liệu ban đầu</t>
        </is>
      </c>
      <c r="B12" s="121" t="n"/>
      <c r="C12" s="122" t="n"/>
      <c r="D12" s="33" t="inlineStr">
        <is>
          <t>Gói CSDL</t>
        </is>
      </c>
      <c r="E12" s="33" t="n">
        <v>1</v>
      </c>
      <c r="F12" s="33" t="n">
        <v>2500000</v>
      </c>
      <c r="G12" s="33">
        <f>E12*F12</f>
        <v/>
      </c>
      <c r="H12" s="33" t="inlineStr">
        <is>
          <t>PostgreSQL + PostGIS (GIS spatial routing engine) + Redis Caching</t>
        </is>
      </c>
      <c r="I12" s="15" t="n"/>
      <c r="J12" s="15" t="n"/>
      <c r="K12" s="15" t="n"/>
      <c r="L12" s="15" t="n"/>
      <c r="M12" s="15" t="n"/>
      <c r="N12" s="15" t="n"/>
      <c r="O12" s="15" t="n"/>
      <c r="P12" s="15" t="n"/>
      <c r="Q12" s="15" t="n"/>
      <c r="R12" s="15" t="n"/>
      <c r="S12" s="15" t="n"/>
      <c r="T12" s="15" t="n"/>
      <c r="U12" s="15" t="n"/>
      <c r="V12" s="15" t="n"/>
      <c r="W12" s="15" t="n"/>
      <c r="X12" s="15" t="n"/>
      <c r="Y12" s="15" t="n"/>
      <c r="Z12" s="15" t="n"/>
    </row>
    <row r="13">
      <c r="A13" s="33" t="inlineStr">
        <is>
          <t>Thiết lập hệ thống bảo mật, mã hóa dữ liệu</t>
        </is>
      </c>
      <c r="B13" s="121" t="n"/>
      <c r="C13" s="122" t="n"/>
      <c r="D13" s="33" t="inlineStr">
        <is>
          <t>Gói bảo mật</t>
        </is>
      </c>
      <c r="E13" s="33" t="n">
        <v>1</v>
      </c>
      <c r="F13" s="33" t="n">
        <v>4000000</v>
      </c>
      <c r="G13" s="33">
        <f>E13*F13</f>
        <v/>
      </c>
      <c r="H13" s="33" t="inlineStr">
        <is>
          <t>Tuân thủ NĐ 13/2023/NĐ-CP bảo vệ dữ liệu cá nhân, SSL EV Wildcard, Cloudflare WAF</t>
        </is>
      </c>
      <c r="I13" s="15" t="n"/>
      <c r="J13" s="15" t="n"/>
      <c r="K13" s="15" t="n"/>
      <c r="L13" s="15" t="n"/>
      <c r="M13" s="15" t="n"/>
      <c r="N13" s="15" t="n"/>
      <c r="O13" s="15" t="n"/>
      <c r="P13" s="15" t="n"/>
      <c r="Q13" s="15" t="n"/>
      <c r="R13" s="15" t="n"/>
      <c r="S13" s="15" t="n"/>
      <c r="T13" s="15" t="n"/>
      <c r="U13" s="15" t="n"/>
      <c r="V13" s="15" t="n"/>
      <c r="W13" s="15" t="n"/>
      <c r="X13" s="15" t="n"/>
      <c r="Y13" s="15" t="n"/>
      <c r="Z13" s="15" t="n"/>
    </row>
    <row r="14">
      <c r="A14" s="126" t="inlineStr">
        <is>
          <t>3. Pháp lý &amp; hành chính</t>
        </is>
      </c>
      <c r="B14" s="121" t="n"/>
      <c r="C14" s="121" t="n"/>
      <c r="D14" s="121" t="n"/>
      <c r="E14" s="121" t="n"/>
      <c r="F14" s="121" t="n"/>
      <c r="G14" s="121" t="n"/>
      <c r="H14" s="122" t="n"/>
      <c r="I14" s="15" t="n"/>
      <c r="J14" s="15" t="n"/>
      <c r="K14" s="15" t="n"/>
      <c r="L14" s="15" t="n"/>
      <c r="M14" s="15" t="n"/>
      <c r="N14" s="15" t="n"/>
      <c r="O14" s="15" t="n"/>
      <c r="P14" s="15" t="n"/>
      <c r="Q14" s="15" t="n"/>
      <c r="R14" s="15" t="n"/>
      <c r="S14" s="15" t="n"/>
      <c r="T14" s="15" t="n"/>
      <c r="U14" s="15" t="n"/>
      <c r="V14" s="15" t="n"/>
      <c r="W14" s="15" t="n"/>
      <c r="X14" s="15" t="n"/>
      <c r="Y14" s="15" t="n"/>
      <c r="Z14" s="15" t="n"/>
    </row>
    <row r="15">
      <c r="A15" s="33" t="inlineStr">
        <is>
          <t xml:space="preserve">Chi phí mở tài khoản ngân hàng doanh nghiệp </t>
        </is>
      </c>
      <c r="B15" s="121" t="n"/>
      <c r="C15" s="122" t="n"/>
      <c r="D15" s="43" t="inlineStr">
        <is>
          <t>Tài khoản</t>
        </is>
      </c>
      <c r="E15" s="43" t="n">
        <v>1</v>
      </c>
      <c r="F15" s="46" t="n">
        <v>0</v>
      </c>
      <c r="G15" s="46">
        <f>E15*F15</f>
        <v/>
      </c>
      <c r="H15" s="43" t="n"/>
      <c r="I15" s="15" t="n"/>
      <c r="J15" s="15" t="n"/>
      <c r="K15" s="15" t="n"/>
      <c r="L15" s="15" t="n"/>
      <c r="M15" s="15" t="n"/>
      <c r="N15" s="15" t="n"/>
      <c r="O15" s="15" t="n"/>
      <c r="P15" s="15" t="n"/>
      <c r="Q15" s="15" t="n"/>
      <c r="R15" s="15" t="n"/>
      <c r="S15" s="15" t="n"/>
      <c r="T15" s="15" t="n"/>
      <c r="U15" s="15" t="n"/>
      <c r="V15" s="15" t="n"/>
      <c r="W15" s="15" t="n"/>
      <c r="X15" s="15" t="n"/>
      <c r="Y15" s="15" t="n"/>
      <c r="Z15" s="15" t="n"/>
    </row>
    <row r="16">
      <c r="A16" s="33" t="inlineStr">
        <is>
          <t>Chi phí khởi tạo và cài đặt phần mềm hóa đơn điện tử</t>
        </is>
      </c>
      <c r="B16" s="121" t="n"/>
      <c r="C16" s="122" t="n"/>
      <c r="D16" s="43" t="inlineStr">
        <is>
          <t>Lần</t>
        </is>
      </c>
      <c r="E16" s="43" t="n">
        <v>1</v>
      </c>
      <c r="F16" s="46" t="n">
        <v>1000000</v>
      </c>
      <c r="G16" s="46">
        <f>E16*F16</f>
        <v/>
      </c>
      <c r="H16" s="43" t="inlineStr">
        <is>
          <t>Phí khởi tạo phần mềm hóa đơn điện tử MISA meInvoice (chuẩn niêm yết 2026)</t>
        </is>
      </c>
      <c r="I16" s="15" t="n"/>
      <c r="J16" s="15" t="n"/>
      <c r="K16" s="15" t="n"/>
      <c r="L16" s="15" t="n"/>
      <c r="M16" s="15" t="n"/>
      <c r="N16" s="15" t="n"/>
      <c r="O16" s="15" t="n"/>
      <c r="P16" s="15" t="n"/>
      <c r="Q16" s="15" t="n"/>
      <c r="R16" s="15" t="n"/>
      <c r="S16" s="15" t="n"/>
      <c r="T16" s="15" t="n"/>
      <c r="U16" s="15" t="n"/>
      <c r="V16" s="15" t="n"/>
      <c r="W16" s="15" t="n"/>
      <c r="X16" s="15" t="n"/>
      <c r="Y16" s="15" t="n"/>
      <c r="Z16" s="15" t="n"/>
    </row>
    <row r="17">
      <c r="A17" s="33" t="inlineStr">
        <is>
          <t>Phí cung cấp thông tin doanh nghiệp</t>
        </is>
      </c>
      <c r="B17" s="121" t="n"/>
      <c r="C17" s="122" t="n"/>
      <c r="D17" s="43" t="inlineStr">
        <is>
          <t>Lần</t>
        </is>
      </c>
      <c r="E17" s="43" t="n">
        <v>1</v>
      </c>
      <c r="F17" s="46" t="n">
        <v>2000000</v>
      </c>
      <c r="G17" s="46">
        <f>E17*F17</f>
        <v/>
      </c>
      <c r="H17" s="43" t="inlineStr">
        <is>
          <t>Dịch vụ ĐKKD thành lập DN trọn gói + Lệ phí nhà nước + Bố cáo điện tử Cổng thông tin QG</t>
        </is>
      </c>
      <c r="I17" s="15" t="n"/>
      <c r="J17" s="15" t="n"/>
      <c r="K17" s="15" t="n"/>
      <c r="L17" s="15" t="n"/>
      <c r="M17" s="15" t="n"/>
      <c r="N17" s="15" t="n"/>
      <c r="O17" s="15" t="n"/>
      <c r="P17" s="15" t="n"/>
      <c r="Q17" s="15" t="n"/>
      <c r="R17" s="15" t="n"/>
      <c r="S17" s="15" t="n"/>
      <c r="T17" s="15" t="n"/>
      <c r="U17" s="15" t="n"/>
      <c r="V17" s="15" t="n"/>
      <c r="W17" s="15" t="n"/>
      <c r="X17" s="15" t="n"/>
      <c r="Y17" s="15" t="n"/>
      <c r="Z17" s="15" t="n"/>
    </row>
    <row r="18">
      <c r="A18" s="33" t="inlineStr">
        <is>
          <t>Chi phí mua chữ ký số khai thuế</t>
        </is>
      </c>
      <c r="B18" s="121" t="n"/>
      <c r="C18" s="122" t="n"/>
      <c r="D18" s="43" t="inlineStr">
        <is>
          <t>Gói</t>
        </is>
      </c>
      <c r="E18" s="43" t="n">
        <v>1</v>
      </c>
      <c r="F18" s="46" t="n">
        <v>1990000</v>
      </c>
      <c r="G18" s="46">
        <f>E18*F18</f>
        <v/>
      </c>
      <c r="H18" s="43" t="inlineStr">
        <is>
          <t>Chữ ký số Vina-CA / Viettel-CA (Gói 36 tháng bao gồm USB Token chuẩn giá đại lý 2026)</t>
        </is>
      </c>
      <c r="I18" s="15" t="n"/>
      <c r="J18" s="15" t="n"/>
      <c r="K18" s="15" t="n"/>
      <c r="L18" s="15" t="n"/>
      <c r="M18" s="15" t="n"/>
      <c r="N18" s="15" t="n"/>
      <c r="O18" s="15" t="n"/>
      <c r="P18" s="15" t="n"/>
      <c r="Q18" s="15" t="n"/>
      <c r="R18" s="15" t="n"/>
      <c r="S18" s="15" t="n"/>
      <c r="T18" s="15" t="n"/>
      <c r="U18" s="15" t="n"/>
      <c r="V18" s="15" t="n"/>
      <c r="W18" s="15" t="n"/>
      <c r="X18" s="15" t="n"/>
      <c r="Y18" s="15" t="n"/>
      <c r="Z18" s="15" t="n"/>
    </row>
    <row r="19">
      <c r="A19" s="33" t="inlineStr">
        <is>
          <t>Chi phí khắc con dấu và đăng cáo mẫu dấu</t>
        </is>
      </c>
      <c r="B19" s="121" t="n"/>
      <c r="C19" s="122" t="n"/>
      <c r="D19" s="43" t="inlineStr">
        <is>
          <t>Bộ</t>
        </is>
      </c>
      <c r="E19" s="43" t="n">
        <v>1</v>
      </c>
      <c r="F19" s="48" t="n">
        <v>450000</v>
      </c>
      <c r="G19" s="48">
        <f>E19*F19</f>
        <v/>
      </c>
      <c r="H19" s="43" t="n"/>
      <c r="I19" s="15" t="n"/>
      <c r="J19" s="15" t="n"/>
      <c r="K19" s="15" t="n"/>
      <c r="L19" s="15" t="n"/>
      <c r="M19" s="15" t="n"/>
      <c r="N19" s="15" t="n"/>
      <c r="O19" s="15" t="n"/>
      <c r="P19" s="15" t="n"/>
      <c r="Q19" s="15" t="n"/>
      <c r="R19" s="15" t="n"/>
      <c r="S19" s="15" t="n"/>
      <c r="T19" s="15" t="n"/>
      <c r="U19" s="15" t="n"/>
      <c r="V19" s="15" t="n"/>
      <c r="W19" s="15" t="n"/>
      <c r="X19" s="15" t="n"/>
      <c r="Y19" s="15" t="n"/>
      <c r="Z19" s="15" t="n"/>
    </row>
    <row r="20">
      <c r="A20" s="33" t="inlineStr">
        <is>
          <t>Chi phí làm biển hiệu</t>
        </is>
      </c>
      <c r="B20" s="121" t="n"/>
      <c r="C20" s="122" t="n"/>
      <c r="D20" s="43" t="inlineStr">
        <is>
          <t>Cái</t>
        </is>
      </c>
      <c r="E20" s="43" t="n">
        <v>1</v>
      </c>
      <c r="F20" s="46" t="n">
        <v>800000</v>
      </c>
      <c r="G20" s="46">
        <f>E20*F20</f>
        <v/>
      </c>
      <c r="H20" s="43" t="n"/>
      <c r="I20" s="15" t="n"/>
      <c r="J20" s="15" t="n"/>
      <c r="K20" s="15" t="n"/>
      <c r="L20" s="15" t="n"/>
      <c r="M20" s="15" t="n"/>
      <c r="N20" s="15" t="n"/>
      <c r="O20" s="15" t="n"/>
      <c r="P20" s="15" t="n"/>
      <c r="Q20" s="15" t="n"/>
      <c r="R20" s="15" t="n"/>
      <c r="S20" s="15" t="n"/>
      <c r="T20" s="15" t="n"/>
      <c r="U20" s="15" t="n"/>
      <c r="V20" s="15" t="n"/>
      <c r="W20" s="15" t="n"/>
      <c r="X20" s="15" t="n"/>
      <c r="Y20" s="15" t="n"/>
      <c r="Z20" s="15" t="n"/>
    </row>
    <row r="21">
      <c r="A21" s="33" t="inlineStr">
        <is>
          <t>Phí sử dụng hóa đơn điện tử</t>
        </is>
      </c>
      <c r="B21" s="121" t="n"/>
      <c r="C21" s="122" t="n"/>
      <c r="D21" s="43" t="inlineStr">
        <is>
          <t>Hóa đơn</t>
        </is>
      </c>
      <c r="E21" s="50" t="n">
        <v>1000</v>
      </c>
      <c r="F21" s="46" t="n">
        <v>1050</v>
      </c>
      <c r="G21" s="46">
        <f>E21*F21</f>
        <v/>
      </c>
      <c r="H21" s="43" t="inlineStr">
        <is>
          <t>1,000 số hóa đơn điện tử MISA meInvoice (giá niêm yết 1.050.000 VNĐ)</t>
        </is>
      </c>
      <c r="I21" s="15" t="n"/>
      <c r="J21" s="15" t="n"/>
      <c r="K21" s="15" t="n"/>
      <c r="L21" s="15" t="n"/>
      <c r="M21" s="15" t="n"/>
      <c r="N21" s="15" t="n"/>
      <c r="O21" s="15" t="n"/>
      <c r="P21" s="15" t="n"/>
      <c r="Q21" s="15" t="n"/>
      <c r="R21" s="15" t="n"/>
      <c r="S21" s="15" t="n"/>
      <c r="T21" s="15" t="n"/>
      <c r="U21" s="15" t="n"/>
      <c r="V21" s="15" t="n"/>
      <c r="W21" s="15" t="n"/>
      <c r="X21" s="15" t="n"/>
      <c r="Y21" s="15" t="n"/>
      <c r="Z21" s="15" t="n"/>
    </row>
    <row r="22">
      <c r="A22" s="33" t="inlineStr">
        <is>
          <t>Chi phí soạn thảo hợp đồng với đối tác dữ liệu bản đồ/GPS</t>
        </is>
      </c>
      <c r="B22" s="121" t="n"/>
      <c r="C22" s="122" t="n"/>
      <c r="D22" s="43" t="inlineStr">
        <is>
          <t>Lần</t>
        </is>
      </c>
      <c r="E22" s="43" t="n">
        <v>1</v>
      </c>
      <c r="F22" s="46" t="n">
        <v>4000000</v>
      </c>
      <c r="G22" s="46">
        <f>E22*F22</f>
        <v/>
      </c>
      <c r="H22" s="43" t="n"/>
      <c r="I22" s="15" t="n"/>
      <c r="J22" s="46">
        <f>SUM(G15:G25)</f>
        <v/>
      </c>
      <c r="K22" s="56" t="inlineStr">
        <is>
          <t>https://amis.misa.vn/136043/chi-phi-khi-thanh-lap-doanh-nghiep/  
https://luatvietan.vn/chi-phi-thanh-lap-cong-ty.html
https://ketoananpha.vn/dich-vu-dang-ky-thuong-hieu.html
https://luatsudfc.vn/phi-dich-vu-tu-van-soan-thao-hop-dong.html?
https://chukysotot.com/bang-gia-chu-ky-so-cap-nhat-moi-nhat/</t>
        </is>
      </c>
      <c r="L22" s="15" t="n"/>
      <c r="M22" s="15" t="n"/>
      <c r="N22" s="15" t="n"/>
      <c r="O22" s="15" t="n"/>
      <c r="P22" s="15" t="n"/>
      <c r="Q22" s="15" t="n"/>
      <c r="R22" s="15" t="n"/>
      <c r="S22" s="15" t="n"/>
      <c r="T22" s="15" t="n"/>
      <c r="U22" s="15" t="n"/>
      <c r="V22" s="15" t="n"/>
      <c r="W22" s="15" t="n"/>
      <c r="X22" s="15" t="n"/>
      <c r="Y22" s="15" t="n"/>
      <c r="Z22" s="15" t="n"/>
    </row>
    <row r="23">
      <c r="A23" s="33" t="inlineStr">
        <is>
          <t>Phí dịch vụ đăng ký logo độc quyền, bản quyền thương hiệu, nhãn hiệu</t>
        </is>
      </c>
      <c r="B23" s="121" t="n"/>
      <c r="C23" s="122" t="n"/>
      <c r="D23" s="43" t="inlineStr">
        <is>
          <t>Lần</t>
        </is>
      </c>
      <c r="E23" s="43" t="n">
        <v>1</v>
      </c>
      <c r="F23" s="46" t="n">
        <v>1000000</v>
      </c>
      <c r="G23" s="46">
        <f>E23*F23</f>
        <v/>
      </c>
      <c r="H23" s="43" t="n"/>
      <c r="I23" s="59" t="n"/>
      <c r="J23" s="59" t="n"/>
      <c r="K23" s="15" t="n"/>
      <c r="L23" s="15" t="n"/>
      <c r="M23" s="15" t="n"/>
      <c r="N23" s="15" t="n"/>
      <c r="O23" s="15" t="n"/>
      <c r="P23" s="15" t="n"/>
      <c r="Q23" s="15" t="n"/>
      <c r="R23" s="15" t="n"/>
      <c r="S23" s="15" t="n"/>
      <c r="T23" s="15" t="n"/>
      <c r="U23" s="15" t="n"/>
      <c r="V23" s="15" t="n"/>
      <c r="W23" s="15" t="n"/>
      <c r="X23" s="15" t="n"/>
      <c r="Y23" s="15" t="n"/>
      <c r="Z23" s="15" t="n"/>
    </row>
    <row r="24">
      <c r="A24" s="33" t="inlineStr">
        <is>
          <t xml:space="preserve">Lệ phí nộp nhà nước đăng ký độc quyền thương hiệu </t>
        </is>
      </c>
      <c r="B24" s="121" t="n"/>
      <c r="C24" s="122" t="n"/>
      <c r="D24" s="43" t="inlineStr">
        <is>
          <t>Hồ sơ</t>
        </is>
      </c>
      <c r="E24" s="43" t="n">
        <v>1</v>
      </c>
      <c r="F24" s="46" t="n">
        <v>1120000</v>
      </c>
      <c r="G24" s="46">
        <f>E24*F24</f>
        <v/>
      </c>
      <c r="H24" s="60" t="inlineStr">
        <is>
          <t>Lệ phí nhà nước theo TT 263/2016/TT-BTC &amp; TT 63/2023/TT-BTC tại Cục SHTT (1 nhóm 6 SP/DV)</t>
        </is>
      </c>
      <c r="I24" s="15" t="n"/>
      <c r="J24" s="15" t="n"/>
      <c r="K24" s="15" t="n"/>
      <c r="L24" s="15" t="n"/>
      <c r="M24" s="15" t="n"/>
      <c r="N24" s="15" t="n"/>
      <c r="O24" s="15" t="n"/>
      <c r="P24" s="15" t="n"/>
      <c r="Q24" s="15" t="n"/>
      <c r="R24" s="15" t="n"/>
      <c r="S24" s="15" t="n"/>
      <c r="T24" s="15" t="n"/>
      <c r="U24" s="15" t="n"/>
      <c r="V24" s="15" t="n"/>
      <c r="W24" s="15" t="n"/>
      <c r="X24" s="15" t="n"/>
      <c r="Y24" s="15" t="n"/>
      <c r="Z24" s="15" t="n"/>
    </row>
    <row r="25">
      <c r="A25" s="33" t="inlineStr">
        <is>
          <t>Tư vấn pháp lý ban đầu</t>
        </is>
      </c>
      <c r="B25" s="121" t="n"/>
      <c r="C25" s="122" t="n"/>
      <c r="D25" s="43" t="inlineStr">
        <is>
          <t>Lần</t>
        </is>
      </c>
      <c r="E25" s="43" t="n">
        <v>1</v>
      </c>
      <c r="F25" s="46" t="n">
        <v>1990000</v>
      </c>
      <c r="G25" s="46">
        <f>E25*F25</f>
        <v/>
      </c>
      <c r="H25" s="43" t="n"/>
      <c r="I25" s="15" t="n"/>
      <c r="J25" s="15" t="n"/>
      <c r="K25" s="15" t="n"/>
      <c r="L25" s="15" t="n"/>
      <c r="M25" s="15" t="n"/>
      <c r="N25" s="15" t="n"/>
      <c r="O25" s="15" t="n"/>
      <c r="P25" s="15" t="n"/>
      <c r="Q25" s="15" t="n"/>
      <c r="R25" s="15" t="n"/>
      <c r="S25" s="15" t="n"/>
      <c r="T25" s="15" t="n"/>
      <c r="U25" s="15" t="n"/>
      <c r="V25" s="15" t="n"/>
      <c r="W25" s="15" t="n"/>
      <c r="X25" s="15" t="n"/>
      <c r="Y25" s="15" t="n"/>
      <c r="Z25" s="15" t="n"/>
    </row>
    <row r="26">
      <c r="A26" s="126" t="inlineStr">
        <is>
          <t>4. Thiết bị &amp; tài sản cố định</t>
        </is>
      </c>
      <c r="B26" s="121" t="n"/>
      <c r="C26" s="121" t="n"/>
      <c r="D26" s="121" t="n"/>
      <c r="E26" s="121" t="n"/>
      <c r="F26" s="121" t="n"/>
      <c r="G26" s="121" t="n"/>
      <c r="H26" s="122" t="n"/>
      <c r="I26" s="15" t="n"/>
      <c r="J26" s="15" t="n"/>
      <c r="K26" s="15" t="n"/>
      <c r="L26" s="15" t="n"/>
      <c r="M26" s="15" t="n"/>
      <c r="N26" s="15" t="n"/>
      <c r="O26" s="15" t="n"/>
      <c r="P26" s="15" t="n"/>
      <c r="Q26" s="15" t="n"/>
      <c r="R26" s="15" t="n"/>
      <c r="S26" s="15" t="n"/>
      <c r="T26" s="15" t="n"/>
      <c r="U26" s="15" t="n"/>
      <c r="V26" s="15" t="n"/>
      <c r="W26" s="15" t="n"/>
      <c r="X26" s="15" t="n"/>
      <c r="Y26" s="15" t="n"/>
      <c r="Z26" s="15" t="n"/>
    </row>
    <row r="27">
      <c r="A27" s="33" t="inlineStr">
        <is>
          <t>Laptop, thiết bị làm việc cho đội ngũ</t>
        </is>
      </c>
      <c r="B27" s="121" t="n"/>
      <c r="C27" s="122" t="n"/>
      <c r="D27" s="33" t="inlineStr">
        <is>
          <t>Bộ thiết bị</t>
        </is>
      </c>
      <c r="E27" s="33" t="n">
        <v>2</v>
      </c>
      <c r="F27" s="33" t="n">
        <v>12500000</v>
      </c>
      <c r="G27" s="33">
        <f>E27*F27</f>
        <v/>
      </c>
      <c r="H27" s="33" t="inlineStr">
        <is>
          <t>2 Laptop chuyên dụng dev/test phục vụ build môi trường và phân tích dữ liệu</t>
        </is>
      </c>
      <c r="I27" s="15" t="n"/>
      <c r="J27" s="15" t="n"/>
      <c r="K27" s="15" t="n"/>
      <c r="L27" s="15" t="n"/>
      <c r="M27" s="15" t="n"/>
      <c r="N27" s="15" t="n"/>
      <c r="O27" s="15" t="n"/>
      <c r="P27" s="15" t="n"/>
      <c r="Q27" s="15" t="n"/>
      <c r="R27" s="15" t="n"/>
      <c r="S27" s="15" t="n"/>
      <c r="T27" s="15" t="n"/>
      <c r="U27" s="15" t="n"/>
      <c r="V27" s="15" t="n"/>
      <c r="W27" s="15" t="n"/>
      <c r="X27" s="15" t="n"/>
      <c r="Y27" s="15" t="n"/>
      <c r="Z27" s="15" t="n"/>
    </row>
    <row r="28">
      <c r="A28" s="33" t="inlineStr">
        <is>
          <t>Thiết bị demo (nếu cần trình diễn cho khách hàng pilot)</t>
        </is>
      </c>
      <c r="B28" s="121" t="n"/>
      <c r="C28" s="122" t="n"/>
      <c r="D28" s="33" t="inlineStr">
        <is>
          <t>Chiếc</t>
        </is>
      </c>
      <c r="E28" s="33" t="n">
        <v>2</v>
      </c>
      <c r="F28" s="33" t="n">
        <v>3500000</v>
      </c>
      <c r="G28" s="33">
        <f>E28*F28</f>
        <v/>
      </c>
      <c r="H28" s="33" t="inlineStr">
        <is>
          <t>2 Smartphone/Tablet cấu hình chuẩn test app tài xế onsite tại bưu cục pilot</t>
        </is>
      </c>
      <c r="I28" s="15" t="n"/>
      <c r="J28" s="15" t="n"/>
      <c r="K28" s="15" t="n"/>
      <c r="L28" s="15" t="n"/>
      <c r="M28" s="15" t="n"/>
      <c r="N28" s="15" t="n"/>
      <c r="O28" s="15" t="n"/>
      <c r="P28" s="15" t="n"/>
      <c r="Q28" s="15" t="n"/>
      <c r="R28" s="15" t="n"/>
      <c r="S28" s="15" t="n"/>
      <c r="T28" s="15" t="n"/>
      <c r="U28" s="15" t="n"/>
      <c r="V28" s="15" t="n"/>
      <c r="W28" s="15" t="n"/>
      <c r="X28" s="15" t="n"/>
      <c r="Y28" s="15" t="n"/>
      <c r="Z28" s="15" t="n"/>
    </row>
    <row r="29">
      <c r="A29" s="126" t="inlineStr">
        <is>
          <t>5. Nghiên cứu &amp; phát triển ban đầu</t>
        </is>
      </c>
      <c r="B29" s="121" t="n"/>
      <c r="C29" s="121" t="n"/>
      <c r="D29" s="121" t="n"/>
      <c r="E29" s="121" t="n"/>
      <c r="F29" s="121" t="n"/>
      <c r="G29" s="121" t="n"/>
      <c r="H29" s="122" t="n"/>
      <c r="I29" s="15" t="n"/>
      <c r="J29" s="15" t="n"/>
      <c r="K29" s="15" t="n"/>
      <c r="L29" s="15" t="n"/>
      <c r="M29" s="15" t="n"/>
      <c r="N29" s="15" t="n"/>
      <c r="O29" s="15" t="n"/>
      <c r="P29" s="15" t="n"/>
      <c r="Q29" s="15" t="n"/>
      <c r="R29" s="15" t="n"/>
      <c r="S29" s="15" t="n"/>
      <c r="T29" s="15" t="n"/>
      <c r="U29" s="15" t="n"/>
      <c r="V29" s="15" t="n"/>
      <c r="W29" s="15" t="n"/>
      <c r="X29" s="15" t="n"/>
      <c r="Y29" s="15" t="n"/>
      <c r="Z29" s="15" t="n"/>
    </row>
    <row r="30">
      <c r="A30" s="33" t="inlineStr">
        <is>
          <t>Chi phí khảo sát thị trường, phỏng vấn doanh nghiệp (trước khi build)</t>
        </is>
      </c>
      <c r="B30" s="121" t="n"/>
      <c r="C30" s="122" t="n"/>
      <c r="D30" s="33" t="inlineStr">
        <is>
          <t>Đợt khảo sát</t>
        </is>
      </c>
      <c r="E30" s="33" t="n">
        <v>1</v>
      </c>
      <c r="F30" s="33" t="n">
        <v>5000000</v>
      </c>
      <c r="G30" s="33">
        <f>E30*F30</f>
        <v/>
      </c>
      <c r="H30" s="33" t="inlineStr">
        <is>
          <t>Chi phí đi lại, khảo sát thực tế và phỏng vấn 15-20 chủ bưu cục/quản lý vận tải TP.HCM</t>
        </is>
      </c>
      <c r="I30" s="15" t="n"/>
      <c r="J30" s="15" t="n"/>
      <c r="K30" s="15" t="n"/>
      <c r="L30" s="15" t="n"/>
      <c r="M30" s="15" t="n"/>
      <c r="N30" s="15" t="n"/>
      <c r="O30" s="15" t="n"/>
      <c r="P30" s="15" t="n"/>
      <c r="Q30" s="15" t="n"/>
      <c r="R30" s="15" t="n"/>
      <c r="S30" s="15" t="n"/>
      <c r="T30" s="15" t="n"/>
      <c r="U30" s="15" t="n"/>
      <c r="V30" s="15" t="n"/>
      <c r="W30" s="15" t="n"/>
      <c r="X30" s="15" t="n"/>
      <c r="Y30" s="15" t="n"/>
      <c r="Z30" s="15" t="n"/>
    </row>
    <row r="31">
      <c r="A31" s="33" t="inlineStr">
        <is>
          <t>Chi phí thuê chuyên gia tư vấn thiết kế hệ thống (one-time)</t>
        </is>
      </c>
      <c r="B31" s="121" t="n"/>
      <c r="C31" s="122" t="n"/>
      <c r="D31" s="33" t="inlineStr">
        <is>
          <t>Hợp đồng tư vấn</t>
        </is>
      </c>
      <c r="E31" s="33" t="n">
        <v>1</v>
      </c>
      <c r="F31" s="33" t="n">
        <v>10000000</v>
      </c>
      <c r="G31" s="33">
        <f>E31*F31</f>
        <v/>
      </c>
      <c r="H31" s="33" t="inlineStr">
        <is>
          <t>Tư vấn từ chuyên gia Logistics VLA và chuyên gia giải thuật VRP</t>
        </is>
      </c>
      <c r="I31" s="15" t="n"/>
      <c r="J31" s="15" t="n"/>
      <c r="K31" s="15" t="n"/>
      <c r="L31" s="15" t="n"/>
      <c r="M31" s="15" t="n"/>
      <c r="N31" s="15" t="n"/>
      <c r="O31" s="15" t="n"/>
      <c r="P31" s="15" t="n"/>
      <c r="Q31" s="15" t="n"/>
      <c r="R31" s="15" t="n"/>
      <c r="S31" s="15" t="n"/>
      <c r="T31" s="15" t="n"/>
      <c r="U31" s="15" t="n"/>
      <c r="V31" s="15" t="n"/>
      <c r="W31" s="15" t="n"/>
      <c r="X31" s="15" t="n"/>
      <c r="Y31" s="15" t="n"/>
      <c r="Z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row>
    <row r="36">
      <c r="A36" s="15" t="inlineStr">
        <is>
          <t>TỔNG CỘNG VỐN ĐẦU TƯ BAN ĐẦU (CAPEX)</t>
        </is>
      </c>
      <c r="B36" s="15" t="n"/>
      <c r="C36" s="15" t="n"/>
      <c r="D36" s="15" t="n"/>
      <c r="E36" s="15" t="n"/>
      <c r="F36" s="15" t="n"/>
      <c r="G36" s="15">
        <f>SUM(G4:G9)+SUM(G11:G13)+SUM(G15:G25)+SUM(G27:G28)+SUM(G30:G31)</f>
        <v/>
      </c>
      <c r="H36" s="15" t="inlineStr">
        <is>
          <t>Tổng vốn đầu tư ban đầu (được tham chiếu tự động sang bảng CASH FLOW)</t>
        </is>
      </c>
      <c r="I36" s="15" t="n"/>
      <c r="J36" s="15" t="n"/>
      <c r="K36" s="15" t="n"/>
      <c r="L36" s="15" t="n"/>
      <c r="M36" s="15" t="n"/>
      <c r="N36" s="15" t="n"/>
      <c r="O36" s="15" t="n"/>
      <c r="P36" s="15" t="n"/>
      <c r="Q36" s="15" t="n"/>
      <c r="R36" s="15" t="n"/>
      <c r="S36" s="15" t="n"/>
      <c r="T36" s="15" t="n"/>
      <c r="U36" s="15" t="n"/>
      <c r="V36" s="15" t="n"/>
      <c r="W36" s="15" t="n"/>
      <c r="X36" s="15" t="n"/>
      <c r="Y36" s="15" t="n"/>
      <c r="Z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row>
    <row r="56">
      <c r="A56" s="15" t="n"/>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row>
    <row r="57">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row>
    <row r="58">
      <c r="A58" s="15" t="n"/>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row>
    <row r="59">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row>
    <row r="60">
      <c r="A60" s="15" t="n"/>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row>
    <row r="61">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row>
    <row r="62">
      <c r="A62" s="15" t="n"/>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c r="X62" s="15" t="n"/>
      <c r="Y62" s="15" t="n"/>
      <c r="Z62" s="15" t="n"/>
    </row>
    <row r="63">
      <c r="A63" s="15" t="n"/>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row>
    <row r="64">
      <c r="A64" s="15" t="n"/>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row>
    <row r="66">
      <c r="A66" s="15" t="n"/>
      <c r="B66" s="15" t="n"/>
      <c r="C66" s="15" t="n"/>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c r="Y66" s="15" t="n"/>
      <c r="Z66" s="15" t="n"/>
    </row>
    <row r="67">
      <c r="A67" s="15" t="n"/>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row>
    <row r="68">
      <c r="A68" s="15" t="n"/>
      <c r="B68" s="15" t="n"/>
      <c r="C68" s="15" t="n"/>
      <c r="D68" s="15" t="n"/>
      <c r="E68" s="15" t="n"/>
      <c r="F68" s="15" t="n"/>
      <c r="G68" s="15" t="n"/>
      <c r="H68" s="15" t="n"/>
      <c r="I68" s="15" t="n"/>
      <c r="J68" s="15" t="n"/>
      <c r="K68" s="15" t="n"/>
      <c r="L68" s="15" t="n"/>
      <c r="M68" s="15" t="n"/>
      <c r="N68" s="15" t="n"/>
      <c r="O68" s="15" t="n"/>
      <c r="P68" s="15" t="n"/>
      <c r="Q68" s="15" t="n"/>
      <c r="R68" s="15" t="n"/>
      <c r="S68" s="15" t="n"/>
      <c r="T68" s="15" t="n"/>
      <c r="U68" s="15" t="n"/>
      <c r="V68" s="15" t="n"/>
      <c r="W68" s="15" t="n"/>
      <c r="X68" s="15" t="n"/>
      <c r="Y68" s="15" t="n"/>
      <c r="Z68" s="15" t="n"/>
    </row>
    <row r="69">
      <c r="A69" s="15" t="n"/>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row>
    <row r="70">
      <c r="A70" s="15" t="n"/>
      <c r="B70" s="15" t="n"/>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row>
    <row r="71">
      <c r="A71" s="15" t="n"/>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row>
    <row r="73">
      <c r="A73" s="15" t="n"/>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row>
    <row r="74">
      <c r="A74" s="15" t="n"/>
      <c r="B74" s="15" t="n"/>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row>
    <row r="75">
      <c r="A75" s="15" t="n"/>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row>
    <row r="76">
      <c r="A76" s="15" t="n"/>
      <c r="B76" s="15" t="n"/>
      <c r="C76" s="15" t="n"/>
      <c r="D76" s="15" t="n"/>
      <c r="E76" s="15" t="n"/>
      <c r="F76" s="15" t="n"/>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row>
    <row r="77">
      <c r="A77" s="15" t="n"/>
      <c r="B77" s="15"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row>
    <row r="78">
      <c r="A78" s="15" t="n"/>
      <c r="B78" s="15"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row>
    <row r="80">
      <c r="A80" s="15" t="n"/>
      <c r="B80" s="15" t="n"/>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row>
    <row r="82">
      <c r="A82" s="15" t="n"/>
      <c r="B82" s="15" t="n"/>
      <c r="C82" s="15" t="n"/>
      <c r="D82" s="15" t="n"/>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row>
    <row r="84">
      <c r="A84" s="15" t="n"/>
      <c r="B84" s="15" t="n"/>
      <c r="C84" s="15" t="n"/>
      <c r="D84" s="15" t="n"/>
      <c r="E84" s="15" t="n"/>
      <c r="F84" s="15" t="n"/>
      <c r="G84" s="15" t="n"/>
      <c r="H84" s="15" t="n"/>
      <c r="I84" s="15" t="n"/>
      <c r="J84" s="15" t="n"/>
      <c r="K84" s="15" t="n"/>
      <c r="L84" s="15" t="n"/>
      <c r="M84" s="15" t="n"/>
      <c r="N84" s="15" t="n"/>
      <c r="O84" s="15" t="n"/>
      <c r="P84" s="15" t="n"/>
      <c r="Q84" s="15" t="n"/>
      <c r="R84" s="15" t="n"/>
      <c r="S84" s="15" t="n"/>
      <c r="T84" s="15" t="n"/>
      <c r="U84" s="15" t="n"/>
      <c r="V84" s="15" t="n"/>
      <c r="W84" s="15" t="n"/>
      <c r="X84" s="15" t="n"/>
      <c r="Y84" s="15" t="n"/>
      <c r="Z84" s="15"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row>
    <row r="86">
      <c r="A86" s="15" t="n"/>
      <c r="B86" s="15" t="n"/>
      <c r="C86" s="15" t="n"/>
      <c r="D86" s="15" t="n"/>
      <c r="E86" s="15" t="n"/>
      <c r="F86" s="15" t="n"/>
      <c r="G86" s="15" t="n"/>
      <c r="H86" s="15" t="n"/>
      <c r="I86" s="15" t="n"/>
      <c r="J86" s="15" t="n"/>
      <c r="K86" s="15" t="n"/>
      <c r="L86" s="15" t="n"/>
      <c r="M86" s="15" t="n"/>
      <c r="N86" s="15" t="n"/>
      <c r="O86" s="15" t="n"/>
      <c r="P86" s="15" t="n"/>
      <c r="Q86" s="15" t="n"/>
      <c r="R86" s="15" t="n"/>
      <c r="S86" s="15" t="n"/>
      <c r="T86" s="15" t="n"/>
      <c r="U86" s="15" t="n"/>
      <c r="V86" s="15" t="n"/>
      <c r="W86" s="15" t="n"/>
      <c r="X86" s="15" t="n"/>
      <c r="Y86" s="15" t="n"/>
      <c r="Z86" s="15"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row>
    <row r="88">
      <c r="A88" s="15" t="n"/>
      <c r="B88" s="15" t="n"/>
      <c r="C88" s="15" t="n"/>
      <c r="D88" s="15" t="n"/>
      <c r="E88" s="15" t="n"/>
      <c r="F88" s="15" t="n"/>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row>
    <row r="90">
      <c r="A90" s="15" t="n"/>
      <c r="B90" s="15"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row>
    <row r="92">
      <c r="A92" s="15" t="n"/>
      <c r="B92" s="15" t="n"/>
      <c r="C92" s="15" t="n"/>
      <c r="D92" s="15" t="n"/>
      <c r="E92" s="15" t="n"/>
      <c r="F92" s="15" t="n"/>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row>
    <row r="94">
      <c r="A94" s="15" t="n"/>
      <c r="B94" s="15" t="n"/>
      <c r="C94" s="15" t="n"/>
      <c r="D94" s="15" t="n"/>
      <c r="E94" s="15" t="n"/>
      <c r="F94" s="15" t="n"/>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row>
    <row r="96">
      <c r="A96" s="15" t="n"/>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row>
    <row r="98">
      <c r="A98" s="15" t="n"/>
      <c r="B98" s="15" t="n"/>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row>
    <row r="100">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row>
    <row r="10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row>
    <row r="104">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row>
    <row r="106">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row>
    <row r="108">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row>
    <row r="110">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row>
    <row r="11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row>
    <row r="114">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row>
    <row r="116">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row>
    <row r="118">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row>
    <row r="120">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row>
    <row r="12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row>
    <row r="124">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row>
    <row r="12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row>
    <row r="128">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row>
    <row r="130">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row>
    <row r="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row>
    <row r="134">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row>
    <row r="13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row>
    <row r="138">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row>
    <row r="140">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row>
    <row r="14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row>
    <row r="144">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row>
    <row r="14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row>
    <row r="148">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row>
    <row r="150">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row>
    <row r="15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row>
    <row r="18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row>
    <row r="184">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row>
    <row r="18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row>
    <row r="188">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row>
    <row r="190">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row>
    <row r="19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row>
    <row r="194">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row>
    <row r="19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row>
    <row r="198">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row>
    <row r="200">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row>
    <row r="201">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row>
    <row r="202">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row>
    <row r="203">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row>
    <row r="204">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row>
    <row r="205">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row>
    <row r="206">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row>
    <row r="207">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row>
    <row r="208">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row>
    <row r="20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row>
    <row r="210">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row>
    <row r="211">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row>
    <row r="212">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row>
    <row r="213">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row>
    <row r="214">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row>
    <row r="215">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row>
    <row r="216">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row>
    <row r="217">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row>
    <row r="218">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row>
    <row r="21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row>
    <row r="220">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row>
    <row r="22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row>
    <row r="22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row>
    <row r="223">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row>
    <row r="224">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row>
    <row r="225">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row>
    <row r="226">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row>
    <row r="22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row>
    <row r="228">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row>
    <row r="22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row>
    <row r="230">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row>
    <row r="23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row>
    <row r="232">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row>
    <row r="233">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row>
    <row r="234">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row>
    <row r="235">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row>
    <row r="236">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row>
    <row r="23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row>
    <row r="238">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row>
    <row r="23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row>
    <row r="240">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row>
    <row r="24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row>
    <row r="242">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row>
    <row r="243">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row>
    <row r="244">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row>
    <row r="245">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row>
    <row r="246">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row>
    <row r="24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row>
    <row r="248">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row>
    <row r="24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row>
    <row r="250">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row>
    <row r="25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row>
    <row r="252">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row>
    <row r="253">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row>
    <row r="254">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row>
    <row r="255">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row>
    <row r="256">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row>
    <row r="25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row>
    <row r="258">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row>
    <row r="2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row>
    <row r="260">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row>
    <row r="26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row>
    <row r="262">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row>
    <row r="263">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row>
    <row r="264">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row>
    <row r="265">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row>
    <row r="266">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row>
    <row r="2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row>
    <row r="268">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row>
    <row r="26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row>
    <row r="270">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row>
    <row r="27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row>
    <row r="272">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row>
    <row r="273">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row>
    <row r="274">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row>
    <row r="275">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row>
    <row r="276">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row>
    <row r="27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row>
    <row r="27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row>
    <row r="280">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row>
    <row r="28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row>
    <row r="283">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row>
    <row r="284">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row>
    <row r="285">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row>
    <row r="286">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row>
    <row r="28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row>
    <row r="288">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row>
    <row r="28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row>
    <row r="290">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row>
    <row r="29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row>
    <row r="292">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row>
    <row r="293">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row>
    <row r="294">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row>
    <row r="295">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row>
    <row r="296">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row>
    <row r="29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row>
    <row r="298">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row>
    <row r="29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row>
    <row r="300">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row>
    <row r="30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row>
    <row r="302">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row>
    <row r="303">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row>
    <row r="304">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row>
    <row r="305">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row>
    <row r="306">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row>
    <row r="30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row>
    <row r="308">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row>
    <row r="30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row>
    <row r="310">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row>
    <row r="31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row>
    <row r="312">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row>
    <row r="313">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row>
    <row r="314">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row>
    <row r="315">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row>
    <row r="316">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row>
    <row r="31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row>
    <row r="318">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row>
    <row r="31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row>
    <row r="320">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row>
    <row r="32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row>
    <row r="322">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row>
    <row r="323">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row>
    <row r="324">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row>
    <row r="325">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row>
    <row r="326">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row>
    <row r="32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row>
    <row r="328">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row>
    <row r="32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row>
    <row r="330">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row>
    <row r="33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row>
    <row r="332">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row>
    <row r="333">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row>
    <row r="334">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row>
    <row r="335">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row>
    <row r="336">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row>
    <row r="33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row>
    <row r="338">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row>
    <row r="33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row>
    <row r="340">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row>
    <row r="34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row>
    <row r="342">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row>
    <row r="343">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row>
    <row r="344">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row>
    <row r="345">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row>
    <row r="346">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row>
    <row r="34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row>
    <row r="348">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row>
    <row r="34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row>
    <row r="350">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row>
    <row r="35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row>
    <row r="352">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row>
    <row r="353">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row>
    <row r="354">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row>
    <row r="355">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row>
    <row r="356">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row>
    <row r="35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row>
    <row r="358">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row>
    <row r="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row>
    <row r="360">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row>
    <row r="36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row>
    <row r="362">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row>
    <row r="363">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row>
    <row r="364">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row>
    <row r="365">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row>
    <row r="366">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row>
    <row r="3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row>
    <row r="368">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row>
    <row r="36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row>
    <row r="370">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row>
    <row r="37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row>
    <row r="372">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row>
    <row r="373">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row>
    <row r="374">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row>
    <row r="375">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row>
    <row r="376">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row>
    <row r="37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row>
    <row r="378">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row>
    <row r="37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row>
    <row r="380">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row>
    <row r="38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row>
    <row r="382">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row>
    <row r="383">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row>
    <row r="384">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row>
    <row r="385">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row>
    <row r="386">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row>
    <row r="38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row>
    <row r="388">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row>
    <row r="38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row>
    <row r="390">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row>
    <row r="39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row>
    <row r="392">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row>
    <row r="393">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row>
    <row r="394">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row>
    <row r="395">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row>
    <row r="396">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row>
    <row r="39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row>
    <row r="398">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row>
    <row r="39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row>
    <row r="400">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row>
    <row r="40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row>
    <row r="402">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row>
    <row r="403">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row>
    <row r="404">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row>
    <row r="405">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row>
    <row r="406">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row>
    <row r="40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row>
    <row r="408">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row>
    <row r="40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row>
    <row r="410">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row>
    <row r="41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row>
    <row r="412">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row>
    <row r="413">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row>
    <row r="414">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row>
    <row r="415">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row>
    <row r="416">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row>
    <row r="41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row>
    <row r="418">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row>
    <row r="41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row>
    <row r="420">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row>
    <row r="42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row>
    <row r="422">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row>
    <row r="423">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row>
    <row r="424">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row>
    <row r="425">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row>
    <row r="426">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row>
    <row r="42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row>
    <row r="428">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row>
    <row r="42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row>
    <row r="430">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row>
    <row r="43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row>
    <row r="432">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row>
    <row r="433">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row>
    <row r="434">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row>
    <row r="435">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row>
    <row r="436">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row>
    <row r="43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row>
    <row r="438">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row>
    <row r="43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row>
    <row r="440">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row>
    <row r="44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row>
    <row r="442">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row>
    <row r="443">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row>
    <row r="444">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row>
    <row r="445">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row>
    <row r="446">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row>
    <row r="44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row>
    <row r="448">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row>
    <row r="44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row>
    <row r="450">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row>
    <row r="45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row>
    <row r="452">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row>
    <row r="453">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row>
    <row r="454">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row>
    <row r="455">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row>
    <row r="456">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row>
    <row r="45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row>
    <row r="458">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row>
    <row r="4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row>
    <row r="460">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row>
    <row r="46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row>
    <row r="462">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row>
    <row r="463">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row>
    <row r="464">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row>
    <row r="465">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row>
    <row r="466">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row>
    <row r="4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row>
    <row r="468">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row>
    <row r="46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row>
    <row r="470">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row>
    <row r="47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row>
    <row r="472">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row>
    <row r="473">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row>
    <row r="474">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row>
    <row r="475">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row>
    <row r="476">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row>
    <row r="47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row>
    <row r="478">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row>
    <row r="47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row>
    <row r="480">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row>
    <row r="48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row>
    <row r="482">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row>
    <row r="483">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row>
    <row r="484">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row>
    <row r="485">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row>
    <row r="486">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row>
    <row r="48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row>
    <row r="488">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row>
    <row r="48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row>
    <row r="490">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row>
    <row r="49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row>
    <row r="492">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row>
    <row r="493">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row>
    <row r="494">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row>
    <row r="495">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row>
    <row r="496">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row>
    <row r="49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row>
    <row r="498">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row>
    <row r="49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row>
    <row r="500">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row>
    <row r="50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row>
    <row r="502">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row>
    <row r="503">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row>
    <row r="504">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row>
    <row r="505">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row>
    <row r="506">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row>
    <row r="507">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row>
    <row r="508">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row>
    <row r="509">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row>
    <row r="510">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row>
    <row r="511">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row>
    <row r="512">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row>
    <row r="513">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row>
    <row r="514">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row>
    <row r="515">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row>
    <row r="516">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row>
    <row r="517">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row>
    <row r="518">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row>
    <row r="519">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row>
    <row r="520">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row>
    <row r="521">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row>
    <row r="522">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row>
    <row r="523">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row>
    <row r="524">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row>
    <row r="525">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row>
    <row r="526">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row>
    <row r="527">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row>
    <row r="528">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row>
    <row r="529">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row>
    <row r="530">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row>
    <row r="531">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row>
    <row r="532">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row>
    <row r="533">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row>
    <row r="534">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row>
    <row r="535">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row>
    <row r="536">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row>
    <row r="537">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row>
    <row r="538">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row>
    <row r="539">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row>
    <row r="540">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row>
    <row r="541">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row>
    <row r="542">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row>
    <row r="543">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row>
    <row r="544">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row>
    <row r="545">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row>
    <row r="546">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row>
    <row r="547">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row>
    <row r="548">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row>
    <row r="549">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row>
    <row r="550">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row>
    <row r="551">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row>
    <row r="552">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row>
    <row r="553">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row>
    <row r="554">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row>
    <row r="555">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row>
    <row r="556">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row>
    <row r="557">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row>
    <row r="558">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row>
    <row r="559">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row>
    <row r="560">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row>
    <row r="561">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row>
    <row r="562">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row>
    <row r="563">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row>
    <row r="564">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row>
    <row r="565">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row>
    <row r="566">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row>
    <row r="567">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row>
    <row r="568">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row>
    <row r="569">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row>
    <row r="570">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row>
    <row r="571">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row>
    <row r="572">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row>
    <row r="573">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row>
    <row r="574">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row>
    <row r="575">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row>
    <row r="576">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row>
    <row r="577">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row>
    <row r="578">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row>
    <row r="579">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row>
    <row r="580">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row>
    <row r="581">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row>
    <row r="582">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row>
    <row r="583">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row>
    <row r="584">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row>
    <row r="585">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row>
    <row r="586">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row>
    <row r="587">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row>
    <row r="588">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row>
    <row r="589">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row>
    <row r="590">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row>
    <row r="591">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row>
    <row r="592">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row>
    <row r="593">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row>
    <row r="594">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row>
    <row r="595">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row>
    <row r="596">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row>
    <row r="597">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row>
    <row r="598">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row>
    <row r="599">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row>
    <row r="600">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row>
    <row r="601">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row>
    <row r="602">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row>
    <row r="603">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row>
    <row r="604">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row>
    <row r="605">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row>
    <row r="606">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row>
    <row r="607">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row>
    <row r="608">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row>
    <row r="609">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row>
    <row r="610">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row>
    <row r="611">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row>
    <row r="612">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row>
    <row r="613">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row>
    <row r="614">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row>
    <row r="615">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row>
    <row r="616">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row>
    <row r="617">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row>
    <row r="618">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row>
    <row r="619">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row>
    <row r="620">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row>
    <row r="621">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row>
    <row r="622">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row>
    <row r="623">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row>
    <row r="624">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row>
    <row r="625">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row>
    <row r="626">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row>
    <row r="627">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row>
    <row r="628">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row>
    <row r="629">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row>
    <row r="630">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row>
    <row r="631">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row>
    <row r="632">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row>
    <row r="633">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row>
    <row r="634">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row>
    <row r="635">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row>
    <row r="636">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row>
    <row r="637">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row>
    <row r="638">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row>
    <row r="639">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row>
    <row r="640">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row>
    <row r="641">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row>
    <row r="642">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row>
    <row r="643">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row>
    <row r="644">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row>
    <row r="645">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row>
    <row r="646">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row>
    <row r="647">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row>
    <row r="648">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row>
    <row r="649">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row>
    <row r="650">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row>
    <row r="651">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row>
    <row r="652">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row>
    <row r="653">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row>
    <row r="654">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row>
    <row r="655">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row>
    <row r="656">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row>
    <row r="657">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row>
    <row r="658">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row>
    <row r="659">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row>
    <row r="660">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row>
    <row r="661">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row>
    <row r="662">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row>
    <row r="663">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row>
    <row r="664">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row>
    <row r="665">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row>
    <row r="666">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row>
    <row r="667">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row>
    <row r="668">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row>
    <row r="669">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row>
    <row r="670">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row>
    <row r="671">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row>
    <row r="672">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row>
    <row r="673">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row>
    <row r="674">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row>
    <row r="675">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row>
    <row r="676">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row>
    <row r="677">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row>
    <row r="678">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row>
    <row r="679">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row>
    <row r="680">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row>
    <row r="681">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row>
    <row r="682">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row>
    <row r="683">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row>
    <row r="684">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row>
    <row r="685">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row>
    <row r="686">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row>
    <row r="687">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row>
    <row r="688">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row>
    <row r="689">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row>
    <row r="690">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row>
    <row r="691">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row>
    <row r="692">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row>
    <row r="693">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row>
    <row r="694">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row>
    <row r="695">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row>
    <row r="696">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row>
    <row r="697">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row>
    <row r="698">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row>
    <row r="699">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row>
    <row r="700">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row>
    <row r="701">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row>
    <row r="702">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row>
    <row r="703">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row>
    <row r="704">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row>
    <row r="705">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row>
    <row r="706">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row>
    <row r="707">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row>
    <row r="708">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row>
    <row r="709">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row>
    <row r="710">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row>
    <row r="711">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row>
    <row r="712">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row>
    <row r="713">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row>
    <row r="714">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row>
    <row r="715">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row>
    <row r="716">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row>
    <row r="717">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row>
    <row r="718">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row>
    <row r="719">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row>
    <row r="720">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row>
    <row r="721">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row>
    <row r="722">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row>
    <row r="723">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row>
    <row r="724">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row>
    <row r="725">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row>
    <row r="726">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row>
    <row r="727">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row>
    <row r="728">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row>
    <row r="729">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row>
    <row r="730">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row>
    <row r="731">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row>
    <row r="732">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row>
    <row r="733">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row>
    <row r="734">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row>
    <row r="735">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row>
    <row r="736">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row>
    <row r="737">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row>
    <row r="738">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row>
    <row r="739">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row>
    <row r="740">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row>
    <row r="741">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row>
    <row r="742">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row>
    <row r="743">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row>
    <row r="744">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row>
    <row r="745">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row>
    <row r="746">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row>
    <row r="747">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row>
    <row r="748">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row>
    <row r="749">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row>
    <row r="750">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row>
    <row r="751">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row>
    <row r="752">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row>
    <row r="753">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row>
    <row r="754">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row>
    <row r="755">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row>
    <row r="756">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row>
    <row r="757">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row>
    <row r="758">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row>
    <row r="759">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row>
    <row r="760">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row>
    <row r="761">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row>
    <row r="762">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row>
    <row r="763">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row>
    <row r="764">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row>
    <row r="765">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row>
    <row r="766">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row>
    <row r="767">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row>
    <row r="768">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row>
    <row r="769">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row>
    <row r="770">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row>
    <row r="771">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row>
    <row r="772">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row>
    <row r="773">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row>
    <row r="774">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row>
    <row r="775">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row>
    <row r="776">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row>
    <row r="777">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row>
    <row r="778">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row>
    <row r="779">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row>
    <row r="780">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row>
    <row r="781">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row>
    <row r="782">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row>
    <row r="783">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row>
    <row r="784">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row>
    <row r="785">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row>
    <row r="786">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row>
    <row r="787">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row>
    <row r="788">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row>
    <row r="789">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row>
    <row r="790">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row>
    <row r="791">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row>
    <row r="792">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row>
    <row r="793">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row>
    <row r="794">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row>
    <row r="795">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row>
    <row r="796">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row>
    <row r="797">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row>
    <row r="798">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row>
    <row r="799">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row>
    <row r="800">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row>
    <row r="801">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row>
    <row r="802">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row>
    <row r="803">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row>
    <row r="804">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row>
    <row r="805">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row>
    <row r="806">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row>
    <row r="807">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row>
    <row r="808">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row>
    <row r="809">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row>
    <row r="810">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row>
    <row r="811">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row>
    <row r="812">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row>
    <row r="813">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row>
    <row r="814">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row>
    <row r="815">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row>
    <row r="816">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row>
    <row r="817">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row>
    <row r="818">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row>
    <row r="819">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row>
    <row r="820">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row>
    <row r="821">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row>
    <row r="822">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row>
    <row r="823">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row>
    <row r="824">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row>
    <row r="825">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row>
    <row r="826">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row>
    <row r="827">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row>
    <row r="828">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row>
    <row r="829">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row>
    <row r="830">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row>
    <row r="831">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row>
    <row r="832">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row>
    <row r="833">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row>
    <row r="834">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row>
    <row r="835">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row>
    <row r="836">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row>
    <row r="837">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row>
    <row r="838">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row>
    <row r="839">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row>
    <row r="840">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row>
    <row r="841">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row>
    <row r="842">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row>
    <row r="843">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row>
    <row r="844">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row>
    <row r="845">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row>
    <row r="846">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row>
    <row r="847">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row>
    <row r="848">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row>
    <row r="849">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row>
    <row r="850">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row>
    <row r="851">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row>
    <row r="852">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row>
    <row r="853">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row>
    <row r="854">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row>
    <row r="855">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row>
    <row r="856">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row>
    <row r="857">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row>
    <row r="858">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row>
    <row r="859">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row>
    <row r="860">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row>
    <row r="861">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row>
    <row r="862">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row>
    <row r="863">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row>
    <row r="864">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row>
    <row r="865">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row>
    <row r="866">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row>
    <row r="867">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row>
    <row r="868">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row>
    <row r="869">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row>
    <row r="870">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row>
    <row r="871">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row>
    <row r="872">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row>
    <row r="873">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row>
    <row r="874">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row>
    <row r="875">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row>
    <row r="876">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row>
    <row r="877">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row>
    <row r="878">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row>
    <row r="879">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row>
    <row r="880">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row>
    <row r="881">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row>
    <row r="882">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row>
    <row r="883">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row>
    <row r="884">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row>
    <row r="885">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row>
    <row r="886">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row>
    <row r="887">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row>
    <row r="888">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row>
    <row r="889">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row>
    <row r="890">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row>
    <row r="891">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row>
    <row r="892">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row>
    <row r="893">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row>
    <row r="894">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row>
    <row r="895">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row>
    <row r="896">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row>
    <row r="897">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row>
    <row r="898">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row>
    <row r="899">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row>
    <row r="900">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row>
    <row r="901">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row>
    <row r="902">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row>
    <row r="903">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row>
    <row r="904">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row>
    <row r="905">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row>
    <row r="906">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row>
    <row r="907">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row>
    <row r="908">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row>
    <row r="909">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row>
    <row r="910">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row>
    <row r="911">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row>
    <row r="912">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row>
    <row r="913">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row>
    <row r="914">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row>
    <row r="915">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row>
    <row r="916">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row>
    <row r="917">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row>
    <row r="918">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row>
    <row r="919">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row>
    <row r="920">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row>
    <row r="921">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row>
    <row r="922">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row>
    <row r="923">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row>
    <row r="924">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row>
    <row r="925">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row>
    <row r="926">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row>
    <row r="927">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row>
    <row r="928">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row>
    <row r="929">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row>
    <row r="930">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row>
    <row r="931">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row>
    <row r="932">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row>
    <row r="933">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row>
    <row r="934">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row>
    <row r="935">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row>
    <row r="936">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row>
    <row r="937">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row>
    <row r="938">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row>
    <row r="939">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row>
    <row r="940">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row>
    <row r="941">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row>
    <row r="942">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row>
    <row r="943">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row>
    <row r="944">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row>
    <row r="945">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row>
    <row r="946">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row>
    <row r="947">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row>
    <row r="948">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row>
    <row r="949">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row>
    <row r="950">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row>
    <row r="951">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row>
    <row r="952">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row>
    <row r="953">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row>
    <row r="954">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row>
    <row r="955">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row>
    <row r="956">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row>
    <row r="957">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row>
    <row r="958">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row>
    <row r="959">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row>
    <row r="960">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row>
    <row r="961">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row>
    <row r="962">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row>
    <row r="963">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row>
    <row r="964">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row>
    <row r="965">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row>
    <row r="966">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row>
    <row r="967">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row>
    <row r="968">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row>
    <row r="969">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row>
    <row r="970">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row>
    <row r="971">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row>
    <row r="972">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row>
    <row r="973">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row>
    <row r="974">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row>
    <row r="975">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row>
    <row r="976">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row>
    <row r="977">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row>
    <row r="978">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row>
    <row r="979">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row>
    <row r="980">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row>
    <row r="981">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row>
    <row r="982">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row>
    <row r="983">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row>
    <row r="984">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row>
    <row r="985">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row>
    <row r="986">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row>
    <row r="987">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row>
    <row r="988">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row>
    <row r="989">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row>
    <row r="990">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row>
    <row r="991">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row>
    <row r="992">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row>
    <row r="993">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row>
    <row r="994">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row>
    <row r="995">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row>
    <row r="996">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row>
    <row r="997">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row>
    <row r="998">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row>
    <row r="999">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row>
    <row r="1000">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row>
    <row r="1001">
      <c r="A1001" s="15" t="n"/>
      <c r="B1001" s="15" t="n"/>
      <c r="C1001" s="15" t="n"/>
      <c r="D1001" s="15" t="n"/>
      <c r="E1001" s="15" t="n"/>
      <c r="F1001" s="15" t="n"/>
      <c r="G1001" s="15" t="n"/>
      <c r="H1001" s="15" t="n"/>
      <c r="I1001" s="15" t="n"/>
      <c r="J1001" s="15" t="n"/>
      <c r="K1001" s="15" t="n"/>
      <c r="L1001" s="15" t="n"/>
      <c r="M1001" s="15" t="n"/>
      <c r="N1001" s="15" t="n"/>
      <c r="O1001" s="15" t="n"/>
      <c r="P1001" s="15" t="n"/>
      <c r="Q1001" s="15" t="n"/>
      <c r="R1001" s="15" t="n"/>
      <c r="S1001" s="15" t="n"/>
      <c r="T1001" s="15" t="n"/>
      <c r="U1001" s="15" t="n"/>
      <c r="V1001" s="15" t="n"/>
      <c r="W1001" s="15" t="n"/>
      <c r="X1001" s="15" t="n"/>
      <c r="Y1001" s="15" t="n"/>
      <c r="Z1001" s="15" t="n"/>
    </row>
    <row r="1002">
      <c r="A1002" s="15" t="n"/>
      <c r="B1002" s="15" t="n"/>
      <c r="C1002" s="15" t="n"/>
      <c r="D1002" s="15" t="n"/>
      <c r="E1002" s="15" t="n"/>
      <c r="F1002" s="15" t="n"/>
      <c r="G1002" s="15" t="n"/>
      <c r="H1002" s="15" t="n"/>
      <c r="I1002" s="15" t="n"/>
      <c r="J1002" s="15" t="n"/>
      <c r="K1002" s="15" t="n"/>
      <c r="L1002" s="15" t="n"/>
      <c r="M1002" s="15" t="n"/>
      <c r="N1002" s="15" t="n"/>
      <c r="O1002" s="15" t="n"/>
      <c r="P1002" s="15" t="n"/>
      <c r="Q1002" s="15" t="n"/>
      <c r="R1002" s="15" t="n"/>
      <c r="S1002" s="15" t="n"/>
      <c r="T1002" s="15" t="n"/>
      <c r="U1002" s="15" t="n"/>
      <c r="V1002" s="15" t="n"/>
      <c r="W1002" s="15" t="n"/>
      <c r="X1002" s="15" t="n"/>
      <c r="Y1002" s="15" t="n"/>
      <c r="Z1002" s="15" t="n"/>
    </row>
    <row r="1003">
      <c r="A1003" s="15" t="n"/>
      <c r="B1003" s="15" t="n"/>
      <c r="C1003" s="15" t="n"/>
      <c r="D1003" s="15" t="n"/>
      <c r="E1003" s="15" t="n"/>
      <c r="F1003" s="15" t="n"/>
      <c r="G1003" s="15" t="n"/>
      <c r="H1003" s="15" t="n"/>
      <c r="I1003" s="15" t="n"/>
      <c r="J1003" s="15" t="n"/>
      <c r="K1003" s="15" t="n"/>
      <c r="L1003" s="15" t="n"/>
      <c r="M1003" s="15" t="n"/>
      <c r="N1003" s="15" t="n"/>
      <c r="O1003" s="15" t="n"/>
      <c r="P1003" s="15" t="n"/>
      <c r="Q1003" s="15" t="n"/>
      <c r="R1003" s="15" t="n"/>
      <c r="S1003" s="15" t="n"/>
      <c r="T1003" s="15" t="n"/>
      <c r="U1003" s="15" t="n"/>
      <c r="V1003" s="15" t="n"/>
      <c r="W1003" s="15" t="n"/>
      <c r="X1003" s="15" t="n"/>
      <c r="Y1003" s="15" t="n"/>
      <c r="Z1003" s="15" t="n"/>
    </row>
    <row r="1004">
      <c r="A1004" s="15" t="n"/>
      <c r="B1004" s="15" t="n"/>
      <c r="C1004" s="15" t="n"/>
      <c r="D1004" s="15" t="n"/>
      <c r="E1004" s="15" t="n"/>
      <c r="F1004" s="15" t="n"/>
      <c r="G1004" s="15" t="n"/>
      <c r="H1004" s="15" t="n"/>
      <c r="I1004" s="15" t="n"/>
      <c r="J1004" s="15" t="n"/>
      <c r="K1004" s="15" t="n"/>
      <c r="L1004" s="15" t="n"/>
      <c r="M1004" s="15" t="n"/>
      <c r="N1004" s="15" t="n"/>
      <c r="O1004" s="15" t="n"/>
      <c r="P1004" s="15" t="n"/>
      <c r="Q1004" s="15" t="n"/>
      <c r="R1004" s="15" t="n"/>
      <c r="S1004" s="15" t="n"/>
      <c r="T1004" s="15" t="n"/>
      <c r="U1004" s="15" t="n"/>
      <c r="V1004" s="15" t="n"/>
      <c r="W1004" s="15" t="n"/>
      <c r="X1004" s="15" t="n"/>
      <c r="Y1004" s="15" t="n"/>
      <c r="Z1004" s="15" t="n"/>
    </row>
    <row r="1005">
      <c r="A1005" s="15" t="n"/>
      <c r="B1005" s="15" t="n"/>
      <c r="C1005" s="15" t="n"/>
      <c r="D1005" s="15" t="n"/>
      <c r="E1005" s="15" t="n"/>
      <c r="F1005" s="15" t="n"/>
      <c r="G1005" s="15" t="n"/>
      <c r="H1005" s="15" t="n"/>
      <c r="I1005" s="15" t="n"/>
      <c r="J1005" s="15" t="n"/>
      <c r="K1005" s="15" t="n"/>
      <c r="L1005" s="15" t="n"/>
      <c r="M1005" s="15" t="n"/>
      <c r="N1005" s="15" t="n"/>
      <c r="O1005" s="15" t="n"/>
      <c r="P1005" s="15" t="n"/>
      <c r="Q1005" s="15" t="n"/>
      <c r="R1005" s="15" t="n"/>
      <c r="S1005" s="15" t="n"/>
      <c r="T1005" s="15" t="n"/>
      <c r="U1005" s="15" t="n"/>
      <c r="V1005" s="15" t="n"/>
      <c r="W1005" s="15" t="n"/>
      <c r="X1005" s="15" t="n"/>
      <c r="Y1005" s="15" t="n"/>
      <c r="Z1005" s="15" t="n"/>
    </row>
    <row r="1006">
      <c r="A1006" s="15" t="n"/>
      <c r="B1006" s="15" t="n"/>
      <c r="C1006" s="15" t="n"/>
      <c r="D1006" s="15" t="n"/>
      <c r="E1006" s="15" t="n"/>
      <c r="F1006" s="15" t="n"/>
      <c r="G1006" s="15" t="n"/>
      <c r="H1006" s="15" t="n"/>
      <c r="I1006" s="15" t="n"/>
      <c r="J1006" s="15" t="n"/>
      <c r="K1006" s="15" t="n"/>
      <c r="L1006" s="15" t="n"/>
      <c r="M1006" s="15" t="n"/>
      <c r="N1006" s="15" t="n"/>
      <c r="O1006" s="15" t="n"/>
      <c r="P1006" s="15" t="n"/>
      <c r="Q1006" s="15" t="n"/>
      <c r="R1006" s="15" t="n"/>
      <c r="S1006" s="15" t="n"/>
      <c r="T1006" s="15" t="n"/>
      <c r="U1006" s="15" t="n"/>
      <c r="V1006" s="15" t="n"/>
      <c r="W1006" s="15" t="n"/>
      <c r="X1006" s="15" t="n"/>
      <c r="Y1006" s="15" t="n"/>
      <c r="Z1006" s="15" t="n"/>
    </row>
  </sheetData>
  <mergeCells count="31">
    <mergeCell ref="A25:C25"/>
    <mergeCell ref="A18:C18"/>
    <mergeCell ref="A27:C27"/>
    <mergeCell ref="A21:C21"/>
    <mergeCell ref="A1:H1"/>
    <mergeCell ref="A12:C12"/>
    <mergeCell ref="A2:C2"/>
    <mergeCell ref="A5:C5"/>
    <mergeCell ref="A23:C23"/>
    <mergeCell ref="A8:C8"/>
    <mergeCell ref="A22:C22"/>
    <mergeCell ref="A17:C17"/>
    <mergeCell ref="A4:C4"/>
    <mergeCell ref="A20:C20"/>
    <mergeCell ref="A28:C28"/>
    <mergeCell ref="A3:H3"/>
    <mergeCell ref="A13:C13"/>
    <mergeCell ref="A19:C19"/>
    <mergeCell ref="A26:H26"/>
    <mergeCell ref="A31:C31"/>
    <mergeCell ref="A9:C9"/>
    <mergeCell ref="A14:H14"/>
    <mergeCell ref="A30:C30"/>
    <mergeCell ref="A15:C15"/>
    <mergeCell ref="A24:C24"/>
    <mergeCell ref="A11:C11"/>
    <mergeCell ref="A29:H29"/>
    <mergeCell ref="A6:C6"/>
    <mergeCell ref="A10:H10"/>
    <mergeCell ref="A7:C7"/>
    <mergeCell ref="A16:C16"/>
  </mergeCells>
  <hyperlinks>
    <hyperlink xmlns:r="http://schemas.openxmlformats.org/officeDocument/2006/relationships" ref="K22" r:id="rId1"/>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H25"/>
  <sheetViews>
    <sheetView workbookViewId="0">
      <selection activeCell="A1" sqref="A1"/>
    </sheetView>
  </sheetViews>
  <sheetFormatPr baseColWidth="8" defaultColWidth="12.63" defaultRowHeight="15.75" customHeight="1"/>
  <cols>
    <col width="7.63" customWidth="1" style="82" min="1" max="1"/>
    <col width="14.88" customWidth="1" style="82" min="5" max="5"/>
    <col width="82.63" customWidth="1" style="82" min="8" max="8"/>
  </cols>
  <sheetData>
    <row r="1">
      <c r="A1" s="43" t="inlineStr">
        <is>
          <t>A. Nguồn thu dự kiến</t>
        </is>
      </c>
      <c r="B1" s="121" t="n"/>
      <c r="C1" s="121" t="n"/>
      <c r="D1" s="121" t="n"/>
      <c r="E1" s="121" t="n"/>
      <c r="F1" s="122" t="n"/>
    </row>
    <row r="2">
      <c r="A2" s="53" t="n"/>
      <c r="B2" s="43" t="inlineStr">
        <is>
          <t>Nguồn thu</t>
        </is>
      </c>
      <c r="C2" s="43" t="inlineStr">
        <is>
          <t>Mô tả</t>
        </is>
      </c>
      <c r="D2" s="43" t="inlineStr">
        <is>
          <t>Đối tượng thu</t>
        </is>
      </c>
      <c r="E2" s="43" t="inlineStr">
        <is>
          <t>Giai đoạn áp dụng</t>
        </is>
      </c>
      <c r="F2" s="43" t="inlineStr">
        <is>
          <t>Ưu tiên</t>
        </is>
      </c>
      <c r="H2" s="54" t="inlineStr">
        <is>
          <t>Giai đoạn pilot (4-6 tuần): không thu phí- đổi lại nhận dữ liệu vận hành thực tế để hiệu chỉnh thuật toán và làm căn cứ định giá. (này consider nên thu hay không nha)</t>
        </is>
      </c>
    </row>
    <row r="3">
      <c r="A3" s="43" t="n">
        <v>1</v>
      </c>
      <c r="B3" s="43" t="inlineStr">
        <is>
          <t>Phí thuê bao (Subscription)</t>
        </is>
      </c>
      <c r="C3" s="43" t="inlineStr">
        <is>
          <t>Thu theo tháng, tính trên số phương tiện quản lý/số tuyến tối ưu; phân theo quy mô DN</t>
        </is>
      </c>
      <c r="D3" s="43" t="inlineStr">
        <is>
          <t>Toàn bộ khách hàng</t>
        </is>
      </c>
      <c r="E3" s="43" t="inlineStr">
        <is>
          <t>Sau pilot (GĐ 2-3)</t>
        </is>
      </c>
      <c r="F3" s="43" t="inlineStr">
        <is>
          <t>Cốt lõi của ngành</t>
        </is>
      </c>
    </row>
    <row r="4">
      <c r="A4" s="43" t="n">
        <v>2</v>
      </c>
      <c r="B4" s="43" t="inlineStr">
        <is>
          <t>Phí triển khai &amp; tích hợp</t>
        </is>
      </c>
      <c r="C4" s="43" t="inlineStr">
        <is>
          <t>Thu một lần: nhập dữ liệu, đào tạo, tích hợp phần mềm sẵn có</t>
        </is>
      </c>
      <c r="D4" s="43" t="inlineStr">
        <is>
          <t>Khách hàng mới</t>
        </is>
      </c>
      <c r="E4" s="43" t="inlineStr">
        <is>
          <t>Sau pilot (GĐ 2-3)</t>
        </is>
      </c>
      <c r="F4" s="43" t="inlineStr">
        <is>
          <t>Cốt lõi cho ứng dụng</t>
        </is>
      </c>
    </row>
    <row r="5">
      <c r="A5" s="43" t="n">
        <v>3</v>
      </c>
      <c r="B5" s="43" t="inlineStr">
        <is>
          <t>Tư vấn &amp; báo cáo ESG</t>
        </is>
      </c>
      <c r="C5" s="43" t="inlineStr">
        <is>
          <t>Tư vấn tối ưu chuyên sâu, báo cáo CO₂ chuẩn hóa cho DN xuất khẩu</t>
        </is>
      </c>
      <c r="D5" s="43" t="inlineStr">
        <is>
          <t>DN có nhu cầu ESG</t>
        </is>
      </c>
      <c r="E5" s="43" t="inlineStr">
        <is>
          <t>Mở rộng (GĐ 4-5)</t>
        </is>
      </c>
      <c r="F5" s="43" t="inlineStr">
        <is>
          <t>Bổ sung tùy theo doanh nghiệp cần hay không</t>
        </is>
      </c>
    </row>
    <row r="6">
      <c r="A6" s="43" t="n">
        <v>4</v>
      </c>
      <c r="B6" s="43" t="inlineStr">
        <is>
          <t>Phí kết nối đơn chiều về</t>
        </is>
      </c>
      <c r="C6" s="43" t="inlineStr">
        <is>
          <t>Hoa hồng khi ghép đơn chiều về giữa các DN</t>
        </is>
      </c>
      <c r="D6" s="43" t="inlineStr">
        <is>
          <t>Mạng lưới logistics tuần hoàn</t>
        </is>
      </c>
      <c r="E6" s="43" t="inlineStr">
        <is>
          <t>GĐ 6 (dài hạn)</t>
        </is>
      </c>
      <c r="F6" s="43" t="inlineStr">
        <is>
          <t>Có thể phát triển thêm (nếu các đvvc họ đồng ý từ đầu)</t>
        </is>
      </c>
    </row>
    <row r="7">
      <c r="A7" s="43" t="n">
        <v>5</v>
      </c>
      <c r="B7" s="43" t="inlineStr">
        <is>
          <t>Hoa hồng đối tác xanh</t>
        </is>
      </c>
      <c r="C7" s="43" t="inlineStr">
        <is>
          <t>Giới thiệu khách hàng cho đối tác xe điện/trạm sạc</t>
        </is>
      </c>
      <c r="D7" s="43" t="inlineStr">
        <is>
          <t>Đối tác sinh thái</t>
        </is>
      </c>
      <c r="E7" s="43" t="inlineStr">
        <is>
          <t>Mở rộng hệ sinh thái (dài hạn)</t>
        </is>
      </c>
      <c r="F7" s="43" t="inlineStr">
        <is>
          <t>Tiềm năng cho đvvc có xe điện</t>
        </is>
      </c>
    </row>
    <row r="9">
      <c r="A9" s="58" t="inlineStr">
        <is>
          <t>B. Cơ cấu chi phí dự kiến</t>
        </is>
      </c>
      <c r="B9" s="121" t="n"/>
      <c r="C9" s="122" t="n"/>
      <c r="E9" s="58" t="inlineStr">
        <is>
          <t>C. Nhu cầu vốn theo giai đoạn</t>
        </is>
      </c>
      <c r="F9" s="121" t="n"/>
      <c r="G9" s="122" t="n"/>
    </row>
    <row r="10">
      <c r="A10" s="57" t="inlineStr">
        <is>
          <t>Nhóm chi phí</t>
        </is>
      </c>
      <c r="B10" s="57" t="inlineStr">
        <is>
          <t>Nội dung</t>
        </is>
      </c>
      <c r="C10" s="57" t="inlineStr">
        <is>
          <t>Giai đoạn phát sinh</t>
        </is>
      </c>
      <c r="E10" s="57" t="inlineStr">
        <is>
          <t>Giai đoạn</t>
        </is>
      </c>
      <c r="F10" s="57" t="inlineStr">
        <is>
          <t>Nhu cầu vốn chính</t>
        </is>
      </c>
      <c r="G10" s="57" t="inlineStr">
        <is>
          <t>Mục đích sử dụng</t>
        </is>
      </c>
    </row>
    <row r="11">
      <c r="A11" s="58" t="inlineStr">
        <is>
          <t>Công nghệ &amp; dữ liệu</t>
        </is>
      </c>
      <c r="B11" s="58" t="inlineStr">
        <is>
          <t>Phí API bản đồ/GPS, dữ liệu giao thông; hạ tầng máy chủ, cơ sở dữ liệu, bảo mật</t>
        </is>
      </c>
      <c r="C11" s="58" t="inlineStr">
        <is>
          <t>Ngay từ MVP/pilot</t>
        </is>
      </c>
      <c r="E11" s="58" t="inlineStr">
        <is>
          <t>GĐ 1 - MVP</t>
        </is>
      </c>
      <c r="F11" s="58" t="inlineStr">
        <is>
          <t>Vốn nhỏ / nội bộ</t>
        </is>
      </c>
      <c r="G11" s="58" t="inlineStr">
        <is>
          <t>Hoàn thiện sản phẩm, kiểm chứng nhu cầu</t>
        </is>
      </c>
    </row>
    <row r="12">
      <c r="A12" s="58" t="inlineStr">
        <is>
          <t>Phát triển sản phẩm</t>
        </is>
      </c>
      <c r="B12" s="58" t="inlineStr">
        <is>
          <t>Nhân sự lập trình, kiểm thử, hoàn thiện thuật toán VRP</t>
        </is>
      </c>
      <c r="C12" s="58" t="inlineStr">
        <is>
          <t>Xuyên suốt các giai đoạn</t>
        </is>
      </c>
      <c r="E12" s="58" t="inlineStr">
        <is>
          <t>GĐ 2 - Pilot TP.HCM</t>
        </is>
      </c>
      <c r="F12" s="58" t="inlineStr">
        <is>
          <t>Vốn hạt giống (seed)</t>
        </is>
      </c>
      <c r="G12" s="58" t="inlineStr">
        <is>
          <t>Phí API dữ liệu, vận hành thử nghiệm, hỗ trợ 3-5 DN pilot</t>
        </is>
      </c>
    </row>
    <row r="13">
      <c r="A13" s="58" t="inlineStr">
        <is>
          <t>Vận hành pilot</t>
        </is>
      </c>
      <c r="B13" s="58" t="inlineStr">
        <is>
          <t>Hỗ trợ kỹ thuật cho DN thử nghiệm, khảo sát, thu thập dữ liệu</t>
        </is>
      </c>
      <c r="C13" s="58" t="inlineStr">
        <is>
          <t>Giai đoạn pilot</t>
        </is>
      </c>
      <c r="E13" s="58" t="inlineStr">
        <is>
          <t>GĐ 3 - Tối ưu công nghệ</t>
        </is>
      </c>
      <c r="F13" s="58" t="inlineStr">
        <is>
          <t>Vốn mở rộng (early-stage)</t>
        </is>
      </c>
      <c r="G13" s="58" t="inlineStr">
        <is>
          <t>Tuyển chuyên gia VRP/dữ liệu, nâng cấp hạ tầng</t>
        </is>
      </c>
    </row>
    <row r="14">
      <c r="A14" s="58" t="inlineStr">
        <is>
          <t>Nhân sự chuyên môn bổ sung</t>
        </is>
      </c>
      <c r="B14" s="58" t="inlineStr">
        <is>
          <t>Chuyên gia VRP, phân tích dữ liệu, đo lường phát thải (theo mục V.2 đã nêu)</t>
        </is>
      </c>
      <c r="C14" s="58" t="inlineStr">
        <is>
          <t>Từ giai đoạn tối ưu công nghệ</t>
        </is>
      </c>
      <c r="E14" s="58" t="inlineStr">
        <is>
          <t>GĐ 4-5 - Mở rộng địa bàn &amp; hệ sinh thái</t>
        </is>
      </c>
      <c r="F14" s="58" t="inlineStr">
        <is>
          <t>Vốn tăng trưởng</t>
        </is>
      </c>
      <c r="G14" s="58" t="inlineStr">
        <is>
          <t>Marketing, mở rộng đội ngũ, tích hợp đối tác</t>
        </is>
      </c>
    </row>
    <row r="15">
      <c r="A15" s="58" t="inlineStr">
        <is>
          <t>Marketing &amp; tiếp cận khách hàng</t>
        </is>
      </c>
      <c r="B15" s="58" t="inlineStr">
        <is>
          <t>Hội thảo, truyền thông, hợp tác hiệp hội/đối tác</t>
        </is>
      </c>
      <c r="C15" s="58" t="inlineStr">
        <is>
          <t>Từ giai đoạn pilot trở đi</t>
        </is>
      </c>
      <c r="E15" s="58" t="inlineStr">
        <is>
          <t>GĐ 6-7 - Logistics tuần hoàn &amp; liên tỉnh</t>
        </is>
      </c>
      <c r="F15" s="58" t="inlineStr">
        <is>
          <t>Vốn quy mô lớn / gọi vốn vòng sau</t>
        </is>
      </c>
      <c r="G15" s="58" t="inlineStr">
        <is>
          <t>Xây dựng mạng lưới liên doanh nghiệp, mở rộng vùng địa lý</t>
        </is>
      </c>
    </row>
    <row r="16">
      <c r="A16" s="58" t="inlineStr">
        <is>
          <t>Vận hành &amp; duy trì hệ thống</t>
        </is>
      </c>
      <c r="B16" s="58" t="inlineStr">
        <is>
          <t>Chi phí server, hỗ trợ khách hàng, cập nhật bảo trì</t>
        </is>
      </c>
      <c r="C16" s="58" t="inlineStr">
        <is>
          <t>Khi thương mại hóa</t>
        </is>
      </c>
    </row>
    <row r="17">
      <c r="A17" s="61" t="n"/>
    </row>
    <row r="18">
      <c r="A18" s="61" t="n"/>
    </row>
    <row r="19">
      <c r="A19" s="62" t="n"/>
      <c r="B19" s="63" t="n"/>
      <c r="C19" s="63" t="n"/>
    </row>
    <row r="20">
      <c r="A20" s="64" t="n"/>
      <c r="B20" s="64" t="n"/>
      <c r="C20" s="64" t="n"/>
    </row>
    <row r="21">
      <c r="A21" s="62" t="n"/>
      <c r="B21" s="62" t="n"/>
      <c r="C21" s="62" t="n"/>
    </row>
    <row r="22">
      <c r="A22" s="62" t="n"/>
      <c r="B22" s="62" t="n"/>
      <c r="C22" s="62" t="n"/>
    </row>
    <row r="23">
      <c r="A23" s="62" t="n"/>
      <c r="B23" s="62" t="n"/>
      <c r="C23" s="62" t="n"/>
    </row>
    <row r="24">
      <c r="A24" s="62" t="n"/>
      <c r="B24" s="62" t="n"/>
      <c r="C24" s="62" t="n"/>
    </row>
    <row r="25">
      <c r="A25" s="62" t="n"/>
      <c r="B25" s="62" t="n"/>
      <c r="C25" s="62" t="n"/>
    </row>
  </sheetData>
  <mergeCells count="3">
    <mergeCell ref="A9:C9"/>
    <mergeCell ref="E9:G9"/>
    <mergeCell ref="A1:F1"/>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Q15"/>
  <sheetViews>
    <sheetView workbookViewId="0">
      <selection activeCell="A1" sqref="A1"/>
    </sheetView>
  </sheetViews>
  <sheetFormatPr baseColWidth="8" defaultColWidth="12.63" defaultRowHeight="15.75" customHeight="1"/>
  <cols>
    <col width="7.88" customWidth="1" style="82" min="1" max="1"/>
    <col width="24.25" customWidth="1" style="82" min="17" max="17"/>
  </cols>
  <sheetData>
    <row r="1">
      <c r="A1" s="132" t="inlineStr">
        <is>
          <t>Revenue 2027</t>
        </is>
      </c>
      <c r="B1" s="121" t="n"/>
      <c r="C1" s="121" t="n"/>
      <c r="D1" s="121" t="n"/>
      <c r="E1" s="121" t="n"/>
      <c r="F1" s="121" t="n"/>
      <c r="G1" s="121" t="n"/>
      <c r="H1" s="121" t="n"/>
      <c r="I1" s="121" t="n"/>
      <c r="J1" s="121" t="n"/>
      <c r="K1" s="121" t="n"/>
      <c r="L1" s="121" t="n"/>
      <c r="M1" s="121" t="n"/>
      <c r="N1" s="121" t="n"/>
      <c r="O1" s="121" t="n"/>
      <c r="P1" s="121" t="n"/>
      <c r="Q1" s="122" t="n"/>
    </row>
    <row r="2">
      <c r="A2" s="132" t="inlineStr">
        <is>
          <t xml:space="preserve">Tháng </t>
        </is>
      </c>
      <c r="B2" s="132" t="n"/>
      <c r="C2" s="132" t="inlineStr">
        <is>
          <t xml:space="preserve">Sản lượng </t>
        </is>
      </c>
      <c r="D2" s="68" t="inlineStr">
        <is>
          <t>Doanh thu</t>
        </is>
      </c>
      <c r="E2" s="132" t="n"/>
      <c r="F2" s="132" t="inlineStr">
        <is>
          <t xml:space="preserve">Sản lượng </t>
        </is>
      </c>
      <c r="G2" s="68" t="inlineStr">
        <is>
          <t>Doanh thu</t>
        </is>
      </c>
      <c r="H2" s="68" t="n"/>
      <c r="I2" s="132" t="inlineStr">
        <is>
          <t xml:space="preserve">Sản lượng </t>
        </is>
      </c>
      <c r="J2" s="68" t="inlineStr">
        <is>
          <t>Doanh thu</t>
        </is>
      </c>
      <c r="K2" s="68" t="n"/>
      <c r="L2" s="68" t="inlineStr">
        <is>
          <t xml:space="preserve">Sản lượng </t>
        </is>
      </c>
      <c r="M2" s="68" t="inlineStr">
        <is>
          <t xml:space="preserve">Doanh thu </t>
        </is>
      </c>
      <c r="N2" s="68" t="n"/>
      <c r="O2" s="132" t="inlineStr">
        <is>
          <t xml:space="preserve">Sản lượng </t>
        </is>
      </c>
      <c r="P2" s="68" t="inlineStr">
        <is>
          <t xml:space="preserve">Doanh thu </t>
        </is>
      </c>
      <c r="Q2" s="132" t="inlineStr">
        <is>
          <t>Tổng doanh thu tháng (VNĐ)</t>
        </is>
      </c>
    </row>
    <row r="3">
      <c r="A3" s="69" t="n">
        <v>1</v>
      </c>
      <c r="B3" s="70" t="n"/>
      <c r="C3" s="70" t="n"/>
      <c r="D3" s="70" t="n"/>
      <c r="E3" s="70" t="n"/>
      <c r="F3" s="70" t="n"/>
      <c r="G3" s="70" t="n"/>
      <c r="H3" s="70" t="n"/>
      <c r="I3" s="70" t="n"/>
      <c r="J3" s="70" t="n"/>
      <c r="K3" s="70" t="n"/>
      <c r="L3" s="70" t="n"/>
      <c r="M3" s="70" t="n"/>
      <c r="N3" s="70" t="n"/>
      <c r="O3" s="70" t="n"/>
      <c r="P3" s="70" t="n"/>
      <c r="Q3" s="70" t="n"/>
    </row>
    <row r="4">
      <c r="A4" s="69" t="n">
        <v>2</v>
      </c>
      <c r="B4" s="70" t="n"/>
      <c r="C4" s="70" t="n"/>
      <c r="D4" s="70" t="n"/>
      <c r="E4" s="70" t="n"/>
      <c r="F4" s="70" t="n"/>
      <c r="G4" s="70" t="n"/>
      <c r="H4" s="70" t="n"/>
      <c r="I4" s="70" t="n"/>
      <c r="J4" s="70" t="n"/>
      <c r="K4" s="70" t="n"/>
      <c r="L4" s="70" t="n"/>
      <c r="M4" s="70" t="n"/>
      <c r="N4" s="70" t="n"/>
      <c r="O4" s="70" t="n"/>
      <c r="P4" s="70" t="n"/>
      <c r="Q4" s="70" t="n"/>
    </row>
    <row r="5">
      <c r="A5" s="69" t="n">
        <v>3</v>
      </c>
      <c r="B5" s="70" t="n"/>
      <c r="C5" s="70" t="n"/>
      <c r="D5" s="70" t="n"/>
      <c r="E5" s="70" t="n"/>
      <c r="F5" s="70" t="n"/>
      <c r="G5" s="70" t="n"/>
      <c r="H5" s="70" t="n"/>
      <c r="I5" s="70" t="n"/>
      <c r="J5" s="70" t="n"/>
      <c r="K5" s="70" t="n"/>
      <c r="L5" s="70" t="n"/>
      <c r="M5" s="70" t="n"/>
      <c r="N5" s="70" t="n"/>
      <c r="O5" s="70" t="n"/>
      <c r="P5" s="70" t="n"/>
      <c r="Q5" s="70" t="n"/>
    </row>
    <row r="6">
      <c r="A6" s="69" t="n">
        <v>4</v>
      </c>
      <c r="B6" s="70" t="n"/>
      <c r="C6" s="70" t="n"/>
      <c r="D6" s="70" t="n"/>
      <c r="E6" s="70" t="n"/>
      <c r="F6" s="70" t="n"/>
      <c r="G6" s="70" t="n"/>
      <c r="H6" s="70" t="n"/>
      <c r="I6" s="70" t="n"/>
      <c r="J6" s="70" t="n"/>
      <c r="K6" s="70" t="n"/>
      <c r="L6" s="70" t="n"/>
      <c r="M6" s="70" t="n"/>
      <c r="N6" s="70" t="n"/>
      <c r="O6" s="70" t="n"/>
      <c r="P6" s="70" t="n"/>
      <c r="Q6" s="70" t="n"/>
    </row>
    <row r="7">
      <c r="A7" s="69" t="n">
        <v>5</v>
      </c>
      <c r="B7" s="70" t="n"/>
      <c r="C7" s="70" t="n"/>
      <c r="D7" s="70" t="n"/>
      <c r="E7" s="70" t="n"/>
      <c r="F7" s="70" t="n"/>
      <c r="G7" s="70" t="n"/>
      <c r="H7" s="70" t="n"/>
      <c r="I7" s="70" t="n"/>
      <c r="J7" s="70" t="n"/>
      <c r="K7" s="70" t="n"/>
      <c r="L7" s="70" t="n"/>
      <c r="M7" s="70" t="n"/>
      <c r="N7" s="70" t="n"/>
      <c r="O7" s="70" t="n"/>
      <c r="P7" s="70" t="n"/>
      <c r="Q7" s="70" t="n"/>
    </row>
    <row r="8">
      <c r="A8" s="69" t="n">
        <v>6</v>
      </c>
      <c r="B8" s="70" t="n"/>
      <c r="C8" s="70" t="n"/>
      <c r="D8" s="70" t="n"/>
      <c r="E8" s="70" t="n"/>
      <c r="F8" s="70" t="n"/>
      <c r="G8" s="70" t="n"/>
      <c r="H8" s="70" t="n"/>
      <c r="I8" s="70" t="n"/>
      <c r="J8" s="70" t="n"/>
      <c r="K8" s="70" t="n"/>
      <c r="L8" s="70" t="n"/>
      <c r="M8" s="70" t="n"/>
      <c r="N8" s="70" t="n"/>
      <c r="O8" s="70" t="n"/>
      <c r="P8" s="70" t="n"/>
      <c r="Q8" s="70" t="n"/>
    </row>
    <row r="9">
      <c r="A9" s="69" t="n">
        <v>7</v>
      </c>
      <c r="B9" s="70" t="n"/>
      <c r="C9" s="70" t="n"/>
      <c r="D9" s="70" t="n"/>
      <c r="E9" s="70" t="n"/>
      <c r="F9" s="70" t="n"/>
      <c r="G9" s="70" t="n"/>
      <c r="H9" s="70" t="n"/>
      <c r="I9" s="70" t="n"/>
      <c r="J9" s="70" t="n"/>
      <c r="K9" s="70" t="n"/>
      <c r="L9" s="70" t="n"/>
      <c r="M9" s="70" t="n"/>
      <c r="N9" s="70" t="n"/>
      <c r="O9" s="70" t="n"/>
      <c r="P9" s="70" t="n"/>
      <c r="Q9" s="70" t="n"/>
    </row>
    <row r="10">
      <c r="A10" s="69" t="n">
        <v>8</v>
      </c>
      <c r="B10" s="70" t="n"/>
      <c r="C10" s="70" t="n"/>
      <c r="D10" s="70" t="n"/>
      <c r="E10" s="70" t="n"/>
      <c r="F10" s="70" t="n"/>
      <c r="G10" s="70" t="n"/>
      <c r="H10" s="70" t="n"/>
      <c r="I10" s="70" t="n"/>
      <c r="J10" s="70" t="n"/>
      <c r="K10" s="70" t="n"/>
      <c r="L10" s="70" t="n"/>
      <c r="M10" s="70" t="n"/>
      <c r="N10" s="70" t="n"/>
      <c r="O10" s="70" t="n"/>
      <c r="P10" s="70" t="n"/>
      <c r="Q10" s="70" t="n"/>
    </row>
    <row r="11">
      <c r="A11" s="69" t="n">
        <v>9</v>
      </c>
      <c r="B11" s="70" t="n"/>
      <c r="C11" s="70" t="n"/>
      <c r="D11" s="70" t="n"/>
      <c r="E11" s="70" t="n"/>
      <c r="F11" s="70" t="n"/>
      <c r="G11" s="70" t="n"/>
      <c r="H11" s="70" t="n"/>
      <c r="I11" s="70" t="n"/>
      <c r="J11" s="70" t="n"/>
      <c r="K11" s="70" t="n"/>
      <c r="L11" s="70" t="n"/>
      <c r="M11" s="70" t="n"/>
      <c r="N11" s="70" t="n"/>
      <c r="O11" s="70" t="n"/>
      <c r="P11" s="70" t="n"/>
      <c r="Q11" s="70" t="n"/>
    </row>
    <row r="12">
      <c r="A12" s="69" t="n">
        <v>10</v>
      </c>
      <c r="B12" s="70" t="n"/>
      <c r="C12" s="70" t="n"/>
      <c r="D12" s="70" t="n"/>
      <c r="E12" s="70" t="n"/>
      <c r="F12" s="70" t="n"/>
      <c r="G12" s="70" t="n"/>
      <c r="H12" s="70" t="n"/>
      <c r="I12" s="70" t="n"/>
      <c r="J12" s="70" t="n"/>
      <c r="K12" s="70" t="n"/>
      <c r="L12" s="70" t="n"/>
      <c r="M12" s="70" t="n"/>
      <c r="N12" s="70" t="n"/>
      <c r="O12" s="70" t="n"/>
      <c r="P12" s="70" t="n"/>
      <c r="Q12" s="70" t="n"/>
    </row>
    <row r="13">
      <c r="A13" s="69" t="n">
        <v>11</v>
      </c>
      <c r="B13" s="70" t="n"/>
      <c r="C13" s="70" t="n"/>
      <c r="D13" s="70" t="n"/>
      <c r="E13" s="70" t="n"/>
      <c r="F13" s="70" t="n"/>
      <c r="G13" s="70" t="n"/>
      <c r="H13" s="70" t="n"/>
      <c r="I13" s="70" t="n"/>
      <c r="J13" s="70" t="n"/>
      <c r="K13" s="70" t="n"/>
      <c r="L13" s="70" t="n"/>
      <c r="M13" s="70" t="n"/>
      <c r="N13" s="70" t="n"/>
      <c r="O13" s="70" t="n"/>
      <c r="P13" s="70" t="n"/>
      <c r="Q13" s="70" t="n"/>
    </row>
    <row r="14">
      <c r="A14" s="69" t="n">
        <v>12</v>
      </c>
      <c r="B14" s="70" t="n"/>
      <c r="C14" s="70" t="n"/>
      <c r="D14" s="70" t="n"/>
      <c r="E14" s="70" t="n"/>
      <c r="F14" s="70" t="n"/>
      <c r="G14" s="70" t="n"/>
      <c r="H14" s="70" t="n"/>
      <c r="I14" s="70" t="n"/>
      <c r="J14" s="70" t="n"/>
      <c r="K14" s="70" t="n"/>
      <c r="L14" s="70" t="n"/>
      <c r="M14" s="70" t="n"/>
      <c r="N14" s="70" t="n"/>
      <c r="O14" s="70" t="n"/>
      <c r="P14" s="70" t="n"/>
      <c r="Q14" s="70" t="n"/>
    </row>
    <row r="15">
      <c r="A15" s="127" t="inlineStr">
        <is>
          <t>TỔNG DOANH THU NĂM 2027</t>
        </is>
      </c>
      <c r="B15" s="121" t="n"/>
      <c r="C15" s="121" t="n"/>
      <c r="D15" s="121" t="n"/>
      <c r="E15" s="121" t="n"/>
      <c r="F15" s="121" t="n"/>
      <c r="G15" s="121" t="n"/>
      <c r="H15" s="121" t="n"/>
      <c r="I15" s="121" t="n"/>
      <c r="J15" s="121" t="n"/>
      <c r="K15" s="121" t="n"/>
      <c r="L15" s="121" t="n"/>
      <c r="M15" s="121" t="n"/>
      <c r="N15" s="121" t="n"/>
      <c r="O15" s="121" t="n"/>
      <c r="P15" s="122" t="n"/>
      <c r="Q15" s="72">
        <f>SUM(Q3:Q14)</f>
        <v/>
      </c>
    </row>
  </sheetData>
  <mergeCells count="2">
    <mergeCell ref="A15:P15"/>
    <mergeCell ref="A1:Q1"/>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F2"/>
  <sheetViews>
    <sheetView workbookViewId="0">
      <selection activeCell="A1" sqref="A1"/>
    </sheetView>
  </sheetViews>
  <sheetFormatPr baseColWidth="8" defaultColWidth="12.63" defaultRowHeight="15.75" customHeight="1"/>
  <cols>
    <col width="10.25" customWidth="1" style="82" min="1" max="1"/>
    <col width="17.38" customWidth="1" style="82" min="2" max="2"/>
    <col width="16.25" customWidth="1" style="82" min="3" max="3"/>
  </cols>
  <sheetData>
    <row r="1">
      <c r="A1" s="128" t="inlineStr">
        <is>
          <t xml:space="preserve">DEPRECIATION </t>
        </is>
      </c>
      <c r="B1" s="129" t="n"/>
      <c r="C1" s="129" t="n"/>
      <c r="D1" s="129" t="n"/>
      <c r="E1" s="129" t="n"/>
      <c r="F1" s="130" t="n"/>
    </row>
    <row r="2">
      <c r="A2" s="76" t="inlineStr">
        <is>
          <t>No</t>
        </is>
      </c>
      <c r="B2" s="76" t="inlineStr">
        <is>
          <t>Hạng mục khấu hao</t>
        </is>
      </c>
      <c r="C2" s="76" t="inlineStr">
        <is>
          <t>Giá trị đầu tư (VND)</t>
        </is>
      </c>
      <c r="D2" s="76" t="inlineStr">
        <is>
          <t>Thời gian (năm)</t>
        </is>
      </c>
      <c r="E2" s="76" t="inlineStr">
        <is>
          <t>Khấu hao năm</t>
        </is>
      </c>
      <c r="F2" s="76" t="inlineStr">
        <is>
          <t>Khấu hao tháng</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H40"/>
  <sheetViews>
    <sheetView workbookViewId="0">
      <selection activeCell="A1" sqref="A1"/>
    </sheetView>
  </sheetViews>
  <sheetFormatPr baseColWidth="8" defaultColWidth="12.63" defaultRowHeight="15.75" customHeight="1"/>
  <sheetData>
    <row r="1">
      <c r="A1" s="78" t="inlineStr">
        <is>
          <t>OPEX - 2027</t>
        </is>
      </c>
      <c r="B1" s="121" t="n"/>
      <c r="C1" s="121" t="n"/>
      <c r="D1" s="121" t="n"/>
      <c r="E1" s="121" t="n"/>
      <c r="F1" s="122" t="n"/>
    </row>
    <row r="2">
      <c r="A2" s="78" t="inlineStr">
        <is>
          <t>No.</t>
        </is>
      </c>
      <c r="B2" s="78" t="inlineStr">
        <is>
          <t>Name of Capitals</t>
        </is>
      </c>
      <c r="C2" s="79" t="inlineStr">
        <is>
          <t>Units</t>
        </is>
      </c>
      <c r="D2" s="79" t="inlineStr">
        <is>
          <t>Quantity</t>
        </is>
      </c>
      <c r="E2" s="80" t="inlineStr">
        <is>
          <t>Price (VND)</t>
        </is>
      </c>
      <c r="F2" s="80" t="inlineStr">
        <is>
          <t>Total/Tháng (VND)</t>
        </is>
      </c>
      <c r="G2" s="0" t="inlineStr">
        <is>
          <t>Total/Năm 2027 (VND)</t>
        </is>
      </c>
      <c r="H2" s="0" t="inlineStr">
        <is>
          <t>Note</t>
        </is>
      </c>
    </row>
    <row r="3">
      <c r="A3" s="0" t="inlineStr">
        <is>
          <t>1</t>
        </is>
      </c>
      <c r="B3" s="0" t="inlineStr">
        <is>
          <t>1. Chi phí công nghệ vận hành</t>
        </is>
      </c>
    </row>
    <row r="4">
      <c r="A4" s="0" t="inlineStr">
        <is>
          <t>1.1</t>
        </is>
      </c>
      <c r="B4" s="0" t="inlineStr">
        <is>
          <t>Phí API bản đồ (Google Maps/Mapbox/HERE...) theo lượt gọi</t>
        </is>
      </c>
      <c r="C4" s="0" t="inlineStr">
        <is>
          <t>Tháng</t>
        </is>
      </c>
      <c r="D4" s="0" t="n">
        <v>1</v>
      </c>
      <c r="E4" s="0" t="n">
        <v>5000000</v>
      </c>
      <c r="F4" s="0">
        <f>D4*E4</f>
        <v/>
      </c>
      <c r="G4" s="0">
        <f>F4*12</f>
        <v/>
      </c>
      <c r="H4" s="0" t="inlineStr">
        <is>
          <t>DAU TB 57-171 (User_acquisition_plan), ~100k-150k routing calls/tháng</t>
        </is>
      </c>
    </row>
    <row r="5">
      <c r="A5" s="0" t="inlineStr">
        <is>
          <t>1.2</t>
        </is>
      </c>
      <c r="B5" s="0" t="inlineStr">
        <is>
          <t>Phí dữ liệu giao thông thời gian thực</t>
        </is>
      </c>
      <c r="C5" s="0" t="inlineStr">
        <is>
          <t>Tháng</t>
        </is>
      </c>
      <c r="D5" s="0" t="n">
        <v>1</v>
      </c>
      <c r="E5" s="0" t="n">
        <v>2500000</v>
      </c>
      <c r="F5" s="0">
        <f>D5*E5</f>
        <v/>
      </c>
      <c r="G5" s="0">
        <f>F5*12</f>
        <v/>
      </c>
      <c r="H5" s="0" t="inlineStr">
        <is>
          <t>API dữ liệu giao thông thời gian thực (Traffic layer &amp; congestion)</t>
        </is>
      </c>
    </row>
    <row r="6">
      <c r="A6" s="0" t="inlineStr">
        <is>
          <t>1.3</t>
        </is>
      </c>
      <c r="B6" s="0" t="inlineStr">
        <is>
          <t>Phí hosting/cloud server (AWS, GCP, Azure...)</t>
        </is>
      </c>
      <c r="C6" s="0" t="inlineStr">
        <is>
          <t>Tháng</t>
        </is>
      </c>
      <c r="D6" s="0" t="n">
        <v>1</v>
      </c>
      <c r="E6" s="0" t="n">
        <v>3500000</v>
      </c>
      <c r="F6" s="0">
        <f>D6*E6</f>
        <v/>
      </c>
      <c r="G6" s="0">
        <f>F6*12</f>
        <v/>
      </c>
      <c r="H6" s="0" t="inlineStr">
        <is>
          <t>2 Cụm máy chủ ứng dụng (Web Dispatch + Driver API Backend + Load Balancer)</t>
        </is>
      </c>
    </row>
    <row r="7">
      <c r="A7" s="0" t="inlineStr">
        <is>
          <t>1.4</t>
        </is>
      </c>
      <c r="B7" s="0" t="inlineStr">
        <is>
          <t>Phí lưu trữ dữ liệu (storage)</t>
        </is>
      </c>
      <c r="C7" s="0" t="inlineStr">
        <is>
          <t>Tháng</t>
        </is>
      </c>
      <c r="D7" s="0" t="n">
        <v>1</v>
      </c>
      <c r="E7" s="0" t="n">
        <v>1200000</v>
      </c>
      <c r="F7" s="0">
        <f>D7*E7</f>
        <v/>
      </c>
      <c r="G7" s="0">
        <f>F7*12</f>
        <v/>
      </c>
      <c r="H7" s="0" t="inlineStr">
        <is>
          <t>Managed PostgreSQL/PostGIS Database + S3 Object Storage lưu trữ lịch sử chuyến</t>
        </is>
      </c>
    </row>
    <row r="8">
      <c r="A8" s="0" t="inlineStr">
        <is>
          <t>1.5</t>
        </is>
      </c>
      <c r="B8" s="0" t="inlineStr">
        <is>
          <t>Phí duy trì bảo mật, SSL, backup định kỳ</t>
        </is>
      </c>
      <c r="C8" s="0" t="inlineStr">
        <is>
          <t>Tháng</t>
        </is>
      </c>
      <c r="D8" s="0" t="n">
        <v>1</v>
      </c>
      <c r="E8" s="0" t="n">
        <v>800000</v>
      </c>
      <c r="F8" s="0">
        <f>D8*E8</f>
        <v/>
      </c>
      <c r="G8" s="0">
        <f>F8*12</f>
        <v/>
      </c>
      <c r="H8" s="0" t="inlineStr">
        <is>
          <t>Chứng chỉ SSL định kỳ, sao lưu CSDL tự động hàng ngày, Cloudflare Security Pro</t>
        </is>
      </c>
    </row>
    <row r="9">
      <c r="A9" s="0" t="inlineStr">
        <is>
          <t>1.6</t>
        </is>
      </c>
      <c r="B9" s="0" t="inlineStr">
        <is>
          <t>Phí bảo trì, sửa lỗi hệ thống</t>
        </is>
      </c>
      <c r="C9" s="0" t="inlineStr">
        <is>
          <t>Tháng</t>
        </is>
      </c>
      <c r="D9" s="0" t="n">
        <v>1</v>
      </c>
      <c r="E9" s="0" t="n">
        <v>1000000</v>
      </c>
      <c r="F9" s="0">
        <f>D9*E9</f>
        <v/>
      </c>
      <c r="G9" s="0">
        <f>F9*12</f>
        <v/>
      </c>
      <c r="H9" s="0" t="inlineStr">
        <is>
          <t>Giám sát lỗi tự động (Sentry), APM performance monitoring, bảo trì định kỳ</t>
        </is>
      </c>
    </row>
    <row r="10">
      <c r="A10" s="0" t="inlineStr">
        <is>
          <t>2</t>
        </is>
      </c>
      <c r="B10" s="0" t="inlineStr">
        <is>
          <t>2. Nhân sự</t>
        </is>
      </c>
    </row>
    <row r="11">
      <c r="A11" s="0" t="inlineStr">
        <is>
          <t>2.1</t>
        </is>
      </c>
      <c r="B11" s="0" t="inlineStr">
        <is>
          <t>Lương đội kỹ thuật (dev, duy trì hệ thống)</t>
        </is>
      </c>
      <c r="C11" s="0" t="inlineStr">
        <is>
          <t>Tháng (2 người)</t>
        </is>
      </c>
      <c r="D11" s="0" t="n">
        <v>2</v>
      </c>
      <c r="E11" s="0" t="n">
        <v>12500000</v>
      </c>
      <c r="F11" s="0">
        <f>D11*E11</f>
        <v/>
      </c>
      <c r="G11" s="0">
        <f>F11*12</f>
        <v/>
      </c>
      <c r="H11" s="0" t="inlineStr">
        <is>
          <t>2 Lập trình viên Fullstack/Mobile kiêm vận hành hệ thống (25,000,000 VND/tháng)</t>
        </is>
      </c>
    </row>
    <row r="12">
      <c r="A12" s="0" t="inlineStr">
        <is>
          <t>2.2</t>
        </is>
      </c>
      <c r="B12" s="0" t="inlineStr">
        <is>
          <t>Lương đội kinh doanh/sales</t>
        </is>
      </c>
      <c r="C12" s="0" t="inlineStr">
        <is>
          <t>Tháng (1 người)</t>
        </is>
      </c>
      <c r="D12" s="0" t="n">
        <v>1</v>
      </c>
      <c r="E12" s="0" t="n">
        <v>10000000</v>
      </c>
      <c r="F12" s="0">
        <f>D12*E12</f>
        <v/>
      </c>
      <c r="G12" s="0">
        <f>F12*12</f>
        <v/>
      </c>
      <c r="H12" s="0" t="inlineStr">
        <is>
          <t>1 Nhân viên Sales B2B tiếp cận các đơn vị vận chuyển và bưu cục logistics</t>
        </is>
      </c>
    </row>
    <row r="13">
      <c r="A13" s="0" t="inlineStr">
        <is>
          <t>2.3</t>
        </is>
      </c>
      <c r="B13" s="0" t="inlineStr">
        <is>
          <t>Lương đội chăm sóc khách hàng/hỗ trợ vận hành</t>
        </is>
      </c>
      <c r="C13" s="0" t="inlineStr">
        <is>
          <t>Tháng (1 người)</t>
        </is>
      </c>
      <c r="D13" s="0" t="n">
        <v>1</v>
      </c>
      <c r="E13" s="0" t="n">
        <v>8000000</v>
      </c>
      <c r="F13" s="0">
        <f>D13*E13</f>
        <v/>
      </c>
      <c r="G13" s="0">
        <f>F13*12</f>
        <v/>
      </c>
      <c r="H13" s="0" t="inlineStr">
        <is>
          <t>1 Nhân viên Onboarding, hướng dẫn và hỗ trợ kỹ thuật trực tiếp cho bưu cục và tài xế</t>
        </is>
      </c>
    </row>
    <row r="14">
      <c r="A14" s="0" t="inlineStr">
        <is>
          <t>2.4</t>
        </is>
      </c>
      <c r="B14" s="0" t="inlineStr">
        <is>
          <t>Lương/thù lao quản lý dự án</t>
        </is>
      </c>
      <c r="C14" s="0" t="inlineStr">
        <is>
          <t>Tháng (1 người)</t>
        </is>
      </c>
      <c r="D14" s="0" t="n">
        <v>1</v>
      </c>
      <c r="E14" s="0" t="n">
        <v>12000000</v>
      </c>
      <c r="F14" s="0">
        <f>D14*E14</f>
        <v/>
      </c>
      <c r="G14" s="0">
        <f>F14*12</f>
        <v/>
      </c>
      <c r="H14" s="0" t="inlineStr">
        <is>
          <t>Thù lao Quản lý dự án (Project Manager / Product Owner) điều phối chung</t>
        </is>
      </c>
    </row>
    <row r="15">
      <c r="A15" s="0" t="inlineStr">
        <is>
          <t>2.5</t>
        </is>
      </c>
      <c r="B15" s="0" t="inlineStr">
        <is>
          <t>Chi phí thuê chuyên gia tư vấn dài hạn (logistics, đo lường CO₂, VRP) nếu có</t>
        </is>
      </c>
      <c r="C15" s="0" t="inlineStr">
        <is>
          <t>Tháng</t>
        </is>
      </c>
      <c r="D15" s="0" t="n">
        <v>1</v>
      </c>
      <c r="E15" s="0" t="n">
        <v>4000000</v>
      </c>
      <c r="F15" s="0">
        <f>D15*E15</f>
        <v/>
      </c>
      <c r="G15" s="0">
        <f>F15*12</f>
        <v/>
      </c>
      <c r="H15" s="0" t="inlineStr">
        <is>
          <t>Thù lao cố vấn chuyên môn giải thuật VRP và phương pháp kiểm kê phát thải CO₂</t>
        </is>
      </c>
    </row>
    <row r="16">
      <c r="A16" s="0" t="inlineStr">
        <is>
          <t>2.6</t>
        </is>
      </c>
      <c r="B16" s="0" t="inlineStr">
        <is>
          <t>Bảo hiểm xã hội, phúc lợi nhân viên (nếu tuyển chính thức)</t>
        </is>
      </c>
      <c r="C16" s="0" t="inlineStr">
        <is>
          <t>Tháng</t>
        </is>
      </c>
      <c r="D16" s="0" t="n">
        <v>1</v>
      </c>
      <c r="E16" s="0" t="n">
        <v>6450000</v>
      </c>
      <c r="F16" s="0">
        <f>D16*E16</f>
        <v/>
      </c>
      <c r="G16" s="0">
        <f>F16*12</f>
        <v/>
      </c>
      <c r="H16" s="0" t="inlineStr">
        <is>
          <t>Đóng BHXH, BHYT, BHTN theo Luật BHXH 2024 (Doanh nghiệp đóng 21.5% quỹ lương cơ bản)</t>
        </is>
      </c>
    </row>
    <row r="17">
      <c r="A17" s="0" t="inlineStr">
        <is>
          <t>3</t>
        </is>
      </c>
      <c r="B17" s="0" t="inlineStr">
        <is>
          <t>3. Vận hành pilot/khách hàng</t>
        </is>
      </c>
    </row>
    <row r="18">
      <c r="A18" s="0" t="inlineStr">
        <is>
          <t>3.1</t>
        </is>
      </c>
      <c r="B18" s="0" t="inlineStr">
        <is>
          <t>Chi phí hỗ trợ kỹ thuật onsite/online cho DN thử nghiệm</t>
        </is>
      </c>
      <c r="C18" s="0" t="inlineStr">
        <is>
          <t>Tháng</t>
        </is>
      </c>
      <c r="D18" s="0" t="n">
        <v>1</v>
      </c>
      <c r="E18" s="0" t="n">
        <v>2500000</v>
      </c>
      <c r="F18" s="0">
        <f>D18*E18</f>
        <v/>
      </c>
      <c r="G18" s="0">
        <f>F18*12</f>
        <v/>
      </c>
      <c r="H18" s="0" t="inlineStr">
        <is>
          <t>Xăng xe, phụ cấp công tác trực tiếp tại các bưu cục thử nghiệm (2-4 bưu cục)</t>
        </is>
      </c>
    </row>
    <row r="19">
      <c r="A19" s="0" t="inlineStr">
        <is>
          <t>3.2</t>
        </is>
      </c>
      <c r="B19" s="0" t="inlineStr">
        <is>
          <t>Chi phí đào tạo, hướng dẫn sử dụng cho DN và tài xế</t>
        </is>
      </c>
      <c r="C19" s="0" t="inlineStr">
        <is>
          <t>Tháng</t>
        </is>
      </c>
      <c r="D19" s="0" t="n">
        <v>1</v>
      </c>
      <c r="E19" s="0" t="n">
        <v>1500000</v>
      </c>
      <c r="F19" s="0">
        <f>D19*E19</f>
        <v/>
      </c>
      <c r="G19" s="0">
        <f>F19*12</f>
        <v/>
      </c>
      <c r="H19" s="0" t="inlineStr">
        <is>
          <t>In ấn tài liệu hướng dẫn nhanh, tổ chức các buổi đào tạo thực địa cho tài xế</t>
        </is>
      </c>
    </row>
    <row r="20">
      <c r="A20" s="0" t="inlineStr">
        <is>
          <t>3.3</t>
        </is>
      </c>
      <c r="B20" s="0" t="inlineStr">
        <is>
          <t>Chi phí thu thập, làm sạch, hiệu chỉnh dữ liệu thực tế</t>
        </is>
      </c>
      <c r="C20" s="0" t="inlineStr">
        <is>
          <t>Tháng</t>
        </is>
      </c>
      <c r="D20" s="0" t="n">
        <v>1</v>
      </c>
      <c r="E20" s="0" t="n">
        <v>2000000</v>
      </c>
      <c r="F20" s="0">
        <f>D20*E20</f>
        <v/>
      </c>
      <c r="G20" s="0">
        <f>F20*12</f>
        <v/>
      </c>
      <c r="H20" s="0" t="inlineStr">
        <is>
          <t>Xử lý chuẩn hóa địa chỉ đơn hàng và hiệu chỉnh thông số tiêu hao nhiên liệu xe</t>
        </is>
      </c>
    </row>
    <row r="21">
      <c r="A21" s="0" t="inlineStr">
        <is>
          <t>3.4</t>
        </is>
      </c>
      <c r="B21" s="0" t="inlineStr">
        <is>
          <t xml:space="preserve">Chi phí chương trình dùng thử miễn phí (coi là chi phí "customer acquisition") </t>
        </is>
      </c>
      <c r="C21" s="0" t="inlineStr">
        <is>
          <t>Tháng</t>
        </is>
      </c>
      <c r="D21" s="0" t="n">
        <v>1</v>
      </c>
      <c r="E21" s="0" t="n">
        <v>3000000</v>
      </c>
      <c r="F21" s="0">
        <f>D21*E21</f>
        <v/>
      </c>
      <c r="G21" s="0">
        <f>F21*12</f>
        <v/>
      </c>
      <c r="H21" s="0" t="inlineStr">
        <is>
          <t>Chi phí hỗ trợ/trợ giá dùng thử trong 4-6 tuần đầu để thu thập dữ liệu pilot</t>
        </is>
      </c>
    </row>
    <row r="22">
      <c r="A22" s="0" t="inlineStr">
        <is>
          <t>4</t>
        </is>
      </c>
      <c r="B22" s="0" t="inlineStr">
        <is>
          <t>4. Marketing &amp; bán hàng</t>
        </is>
      </c>
    </row>
    <row r="23">
      <c r="A23" s="0" t="inlineStr">
        <is>
          <t>4.1</t>
        </is>
      </c>
      <c r="B23" s="0" t="inlineStr">
        <is>
          <t>Quảng cáo online (Facebook, LinkedIn, Google Ads)</t>
        </is>
      </c>
      <c r="C23" s="0" t="inlineStr">
        <is>
          <t>Tháng</t>
        </is>
      </c>
      <c r="D23" s="0" t="n">
        <v>1</v>
      </c>
      <c r="E23" s="0" t="n">
        <v>4000000</v>
      </c>
      <c r="F23" s="0">
        <f>D23*E23</f>
        <v/>
      </c>
      <c r="G23" s="0">
        <f>F23*12</f>
        <v/>
      </c>
      <c r="H23" s="0" t="inlineStr">
        <is>
          <t>Chạy chiến dịch digital marketing nhắm vào nhóm quản lý chuỗi cung ứng/logistics</t>
        </is>
      </c>
    </row>
    <row r="24">
      <c r="A24" s="0" t="inlineStr">
        <is>
          <t>4.2</t>
        </is>
      </c>
      <c r="B24" s="0" t="inlineStr">
        <is>
          <t>Chi phí tham gia hội thảo, triển lãm logistics/ESG</t>
        </is>
      </c>
      <c r="C24" s="0" t="inlineStr">
        <is>
          <t>Tháng (phân bổ)</t>
        </is>
      </c>
      <c r="D24" s="0" t="n">
        <v>1</v>
      </c>
      <c r="E24" s="0" t="n">
        <v>2500000</v>
      </c>
      <c r="F24" s="0">
        <f>D24*E24</f>
        <v/>
      </c>
      <c r="G24" s="0">
        <f>F24*12</f>
        <v/>
      </c>
      <c r="H24" s="0" t="inlineStr">
        <is>
          <t>Phân bổ chi phí tham dự các diễn đàn logistics xanh, triển lãm VLA, Green Expo</t>
        </is>
      </c>
    </row>
    <row r="25">
      <c r="A25" s="0" t="inlineStr">
        <is>
          <t>4.3</t>
        </is>
      </c>
      <c r="B25" s="0" t="inlineStr">
        <is>
          <t>Chi phí sản xuất nội dung truyền thông (video, bài viết, case study)</t>
        </is>
      </c>
      <c r="C25" s="0" t="inlineStr">
        <is>
          <t>Tháng</t>
        </is>
      </c>
      <c r="D25" s="0" t="n">
        <v>1</v>
      </c>
      <c r="E25" s="0" t="n">
        <v>2500000</v>
      </c>
      <c r="F25" s="0">
        <f>D25*E25</f>
        <v/>
      </c>
      <c r="G25" s="0">
        <f>F25*12</f>
        <v/>
      </c>
      <c r="H25" s="0" t="inlineStr">
        <is>
          <t>Sản xuất video giới thiệu tính năng, bài viết case study chứng minh hiệu quả tiết kiệm</t>
        </is>
      </c>
    </row>
    <row r="26">
      <c r="A26" s="0" t="inlineStr">
        <is>
          <t>4.4</t>
        </is>
      </c>
      <c r="B26" s="0" t="inlineStr">
        <is>
          <t>Chi phí quà tặng/khuyến mãi cho khách hàng pilot</t>
        </is>
      </c>
      <c r="C26" s="0" t="inlineStr">
        <is>
          <t>Tháng</t>
        </is>
      </c>
      <c r="D26" s="0" t="n">
        <v>1</v>
      </c>
      <c r="E26" s="0" t="n">
        <v>1200000</v>
      </c>
      <c r="F26" s="0">
        <f>D26*E26</f>
        <v/>
      </c>
      <c r="G26" s="0">
        <f>F26*12</f>
        <v/>
      </c>
      <c r="H26" s="0" t="inlineStr">
        <is>
          <t>Quà lưu niệm, tài trợ vật phẩm cho các bưu cục và tài xế tham gia pilot</t>
        </is>
      </c>
    </row>
    <row r="27">
      <c r="A27" s="0" t="inlineStr">
        <is>
          <t>5</t>
        </is>
      </c>
      <c r="B27" s="0" t="inlineStr">
        <is>
          <t>5. Chi phí văn phòng &amp; hành chính</t>
        </is>
      </c>
    </row>
    <row r="28">
      <c r="A28" s="0" t="inlineStr">
        <is>
          <t>5.1</t>
        </is>
      </c>
      <c r="B28" s="0" t="inlineStr">
        <is>
          <t>Thuê văn phòng (nếu có), điện, nước, internet</t>
        </is>
      </c>
      <c r="C28" s="0" t="inlineStr">
        <is>
          <t>Tháng</t>
        </is>
      </c>
      <c r="D28" s="0" t="n">
        <v>1</v>
      </c>
      <c r="E28" s="0" t="n">
        <v>6000000</v>
      </c>
      <c r="F28" s="0">
        <f>D28*E28</f>
        <v/>
      </c>
      <c r="G28" s="0">
        <f>F28*12</f>
        <v/>
      </c>
      <c r="H28" s="0" t="inlineStr">
        <is>
          <t>Thuê không gian làm việc Co-working Space / Vườn ươm khởi nghiệp</t>
        </is>
      </c>
    </row>
    <row r="29">
      <c r="A29" s="0" t="inlineStr">
        <is>
          <t>5.2</t>
        </is>
      </c>
      <c r="B29" s="0" t="inlineStr">
        <is>
          <t>Công cụ làm việc: Google Workspace, Slack, Zoom, phần mềm quản lý dự án</t>
        </is>
      </c>
      <c r="C29" s="0" t="inlineStr">
        <is>
          <t>Tháng</t>
        </is>
      </c>
      <c r="D29" s="0" t="n">
        <v>1</v>
      </c>
      <c r="E29" s="0" t="n">
        <v>1500000</v>
      </c>
      <c r="F29" s="0">
        <f>D29*E29</f>
        <v/>
      </c>
      <c r="G29" s="0">
        <f>F29*12</f>
        <v/>
      </c>
      <c r="H29" s="0" t="inlineStr">
        <is>
          <t>Bản quyền Google Workspace Business, Slack Pro, Notion, Jira cho 5-8 tài khoản</t>
        </is>
      </c>
    </row>
    <row r="30">
      <c r="A30" s="0" t="inlineStr">
        <is>
          <t>5.3</t>
        </is>
      </c>
      <c r="B30" s="0" t="inlineStr">
        <is>
          <t>Văn phòng phẩm</t>
        </is>
      </c>
      <c r="C30" s="0" t="inlineStr">
        <is>
          <t>Tháng</t>
        </is>
      </c>
      <c r="D30" s="0" t="n">
        <v>1</v>
      </c>
      <c r="E30" s="0" t="n">
        <v>600000</v>
      </c>
      <c r="F30" s="0">
        <f>D30*E30</f>
        <v/>
      </c>
      <c r="G30" s="0">
        <f>F30*12</f>
        <v/>
      </c>
      <c r="H30" s="0" t="inlineStr">
        <is>
          <t>Giấy in, bút, vật dụng văn phòng thiết yếu</t>
        </is>
      </c>
    </row>
    <row r="31">
      <c r="A31" s="0" t="inlineStr">
        <is>
          <t>6</t>
        </is>
      </c>
      <c r="B31" s="0" t="inlineStr">
        <is>
          <t>6. Chi phí tài chính &amp; pháp lý định kỳ</t>
        </is>
      </c>
    </row>
    <row r="32">
      <c r="A32" s="0" t="inlineStr">
        <is>
          <t>6.1</t>
        </is>
      </c>
      <c r="B32" s="0" t="inlineStr">
        <is>
          <t>Kế toán, kiểm toán</t>
        </is>
      </c>
      <c r="C32" s="0" t="inlineStr">
        <is>
          <t>Tháng</t>
        </is>
      </c>
      <c r="D32" s="0" t="n">
        <v>1</v>
      </c>
      <c r="E32" s="0" t="n">
        <v>1800000</v>
      </c>
      <c r="F32" s="0">
        <f>D32*E32</f>
        <v/>
      </c>
      <c r="G32" s="0">
        <f>F32*12</f>
        <v/>
      </c>
      <c r="H32" s="0" t="inlineStr">
        <is>
          <t>Thuê dịch vụ kế toán thuế và lập báo cáo tài chính trọn gói cho doanh nghiệp SME</t>
        </is>
      </c>
    </row>
    <row r="33">
      <c r="A33" s="0" t="inlineStr">
        <is>
          <t>6.2</t>
        </is>
      </c>
      <c r="B33" s="0" t="inlineStr">
        <is>
          <t>Thuế</t>
        </is>
      </c>
      <c r="C33" s="0" t="inlineStr">
        <is>
          <t>Tháng (phân bổ)</t>
        </is>
      </c>
      <c r="D33" s="0" t="n">
        <v>1</v>
      </c>
      <c r="E33" s="0" t="n">
        <v>167000</v>
      </c>
      <c r="F33" s="0">
        <f>D33*E33</f>
        <v/>
      </c>
      <c r="G33" s="0">
        <f>F33*12</f>
        <v/>
      </c>
      <c r="H33" s="0" t="inlineStr">
        <is>
          <t>Lệ phí môn bài bậc 2 triệu/năm (miễn năm đầu 2026 theo NĐ 22/2020, đóng từ 2027)</t>
        </is>
      </c>
    </row>
    <row r="34">
      <c r="A34" s="0" t="inlineStr">
        <is>
          <t>6.3</t>
        </is>
      </c>
      <c r="B34" s="0" t="inlineStr">
        <is>
          <t>Gia hạn giấy phép, hợp đồng đối tác dữ liệu (hàng năm)</t>
        </is>
      </c>
      <c r="C34" s="0" t="inlineStr">
        <is>
          <t>Tháng (phân bổ)</t>
        </is>
      </c>
      <c r="D34" s="0" t="n">
        <v>1</v>
      </c>
      <c r="E34" s="0" t="n">
        <v>800000</v>
      </c>
      <c r="F34" s="0">
        <f>D34*E34</f>
        <v/>
      </c>
      <c r="G34" s="0">
        <f>F34*12</f>
        <v/>
      </c>
      <c r="H34" s="0" t="inlineStr">
        <is>
          <t>Phân bổ phí gia hạn bản quyền dữ liệu và giấy phép liên quan</t>
        </is>
      </c>
    </row>
    <row r="35">
      <c r="A35" s="0" t="inlineStr">
        <is>
          <t>7</t>
        </is>
      </c>
      <c r="B35" s="0" t="inlineStr">
        <is>
          <t>7. Chi phí đo lường &amp; báo cáo</t>
        </is>
      </c>
    </row>
    <row r="36">
      <c r="A36" s="0" t="inlineStr">
        <is>
          <t>7.1</t>
        </is>
      </c>
      <c r="B36" s="0" t="inlineStr">
        <is>
          <t>Công cụ/phần mềm đo lường CO₂ (nếu thuê ngoài thay vì tự xây)</t>
        </is>
      </c>
      <c r="C36" s="0" t="inlineStr">
        <is>
          <t>Tháng</t>
        </is>
      </c>
      <c r="D36" s="0" t="n">
        <v>1</v>
      </c>
      <c r="E36" s="0" t="n">
        <v>1500000</v>
      </c>
      <c r="F36" s="0">
        <f>D36*E36</f>
        <v/>
      </c>
      <c r="G36" s="0">
        <f>F36*12</f>
        <v/>
      </c>
      <c r="H36" s="0" t="inlineStr">
        <is>
          <t>Cập nhật hệ số phát thải (Emission Factors) chuẩn quốc tế GLEC/IPCC từ cơ sở dữ liệu</t>
        </is>
      </c>
    </row>
    <row r="37">
      <c r="A37" s="0" t="inlineStr">
        <is>
          <t>7.2</t>
        </is>
      </c>
      <c r="B37" s="0" t="inlineStr">
        <is>
          <t>Chi phí lập báo cáo ESG định kỳ cho khách hàng</t>
        </is>
      </c>
      <c r="C37" s="0" t="inlineStr">
        <is>
          <t>Tháng</t>
        </is>
      </c>
      <c r="D37" s="0" t="n">
        <v>1</v>
      </c>
      <c r="E37" s="0" t="n">
        <v>2000000</v>
      </c>
      <c r="F37" s="0">
        <f>D37*E37</f>
        <v/>
      </c>
      <c r="G37" s="0">
        <f>F37*12</f>
        <v/>
      </c>
      <c r="H37" s="0" t="inlineStr">
        <is>
          <t>Xuất báo cáo định lượng CO₂ tiết giảm và chứng nhận phát thải xanh cho khách hàng B2B</t>
        </is>
      </c>
    </row>
    <row r="38">
      <c r="A38" s="0" t="inlineStr">
        <is>
          <t>8</t>
        </is>
      </c>
      <c r="B38" s="0" t="inlineStr">
        <is>
          <t>8. Dự phòng rủi ro</t>
        </is>
      </c>
    </row>
    <row r="39">
      <c r="A39" s="0" t="inlineStr">
        <is>
          <t>8.1</t>
        </is>
      </c>
      <c r="B39" s="0" t="inlineStr">
        <is>
          <t>Quỹ dự phòng phát sinh (10% tổng OPEX)</t>
        </is>
      </c>
      <c r="C39" s="0" t="inlineStr">
        <is>
          <t>Tháng</t>
        </is>
      </c>
      <c r="D39" s="0" t="n">
        <v>1</v>
      </c>
      <c r="E39" s="0" t="n">
        <v>11301700</v>
      </c>
      <c r="F39" s="0">
        <f>D39*E39</f>
        <v/>
      </c>
      <c r="G39" s="0">
        <f>F39*12</f>
        <v/>
      </c>
      <c r="H39" s="0" t="inlineStr">
        <is>
          <t>Trích lập 10% trên tổng chi phí vận hành hàng tháng để dự phòng biến động thị trường &amp; chi phí đột xuất</t>
        </is>
      </c>
    </row>
    <row r="40">
      <c r="A40" s="0" t="inlineStr">
        <is>
          <t>TOTAL</t>
        </is>
      </c>
      <c r="B40" s="0" t="inlineStr">
        <is>
          <t>TỔNG CỘNG OPEX VẬN HÀNH (ĐÃ BAO GỒM 10% DỰ PHÒNG)</t>
        </is>
      </c>
      <c r="F40" s="0">
        <f>SUM(F4:F9)+SUM(F11:F16)+SUM(F18:F21)+SUM(F23:F26)+SUM(F28:F30)+SUM(F32:F34)+SUM(F36:F37)+F39</f>
        <v/>
      </c>
      <c r="G40" s="0">
        <f>F40*12</f>
        <v/>
      </c>
      <c r="H40" s="0" t="inlineStr">
        <is>
          <t>TỔNG CỘNG CHI PHÍ VẬN HÀNH OPEX</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L3"/>
  <sheetViews>
    <sheetView workbookViewId="0">
      <selection activeCell="A1" sqref="A1"/>
    </sheetView>
  </sheetViews>
  <sheetFormatPr baseColWidth="8" defaultColWidth="12.63" defaultRowHeight="15.75" customHeight="1"/>
  <cols>
    <col width="16.63" customWidth="1" style="82" min="2" max="2"/>
  </cols>
  <sheetData>
    <row r="1">
      <c r="A1" s="76" t="inlineStr">
        <is>
          <t>Fixed Cost</t>
        </is>
      </c>
      <c r="B1" s="121" t="n"/>
      <c r="C1" s="121" t="n"/>
      <c r="D1" s="121" t="n"/>
      <c r="E1" s="121" t="n"/>
      <c r="F1" s="121" t="n"/>
      <c r="G1" s="121" t="n"/>
      <c r="H1" s="121" t="n"/>
      <c r="I1" s="121" t="n"/>
      <c r="J1" s="121" t="n"/>
      <c r="K1" s="121" t="n"/>
      <c r="L1" s="122" t="n"/>
    </row>
    <row r="2">
      <c r="A2" s="131" t="n"/>
      <c r="B2" s="121" t="n"/>
      <c r="C2" s="121" t="n"/>
      <c r="D2" s="121" t="n"/>
      <c r="E2" s="122" t="n"/>
      <c r="F2" s="84" t="n">
        <v>2026</v>
      </c>
      <c r="G2" s="76" t="n">
        <v>2027</v>
      </c>
      <c r="H2" s="76" t="n">
        <v>2028</v>
      </c>
      <c r="I2" s="76" t="n">
        <v>2029</v>
      </c>
      <c r="J2" s="76" t="n">
        <v>2030</v>
      </c>
      <c r="K2" s="76" t="n">
        <v>2031</v>
      </c>
      <c r="L2" s="132" t="inlineStr">
        <is>
          <t>Chú thích</t>
        </is>
      </c>
    </row>
    <row r="3">
      <c r="A3" s="76" t="inlineStr">
        <is>
          <t>No.</t>
        </is>
      </c>
      <c r="B3" s="76" t="inlineStr">
        <is>
          <t>Name of Capitals</t>
        </is>
      </c>
      <c r="C3" s="86" t="inlineStr">
        <is>
          <t>Units</t>
        </is>
      </c>
      <c r="D3" s="86" t="inlineStr">
        <is>
          <t>Quantity</t>
        </is>
      </c>
      <c r="E3" s="106" t="inlineStr">
        <is>
          <t>Price (VND)</t>
        </is>
      </c>
      <c r="F3" s="106" t="inlineStr">
        <is>
          <t>Total (VND)</t>
        </is>
      </c>
      <c r="G3" s="106" t="inlineStr">
        <is>
          <t>Total (VND)</t>
        </is>
      </c>
      <c r="H3" s="106" t="inlineStr">
        <is>
          <t>Total (VND)</t>
        </is>
      </c>
      <c r="I3" s="106" t="inlineStr">
        <is>
          <t>Total (VND)</t>
        </is>
      </c>
      <c r="J3" s="106" t="inlineStr">
        <is>
          <t>Total (VND)</t>
        </is>
      </c>
      <c r="K3" s="106" t="inlineStr">
        <is>
          <t>Total (VND)</t>
        </is>
      </c>
      <c r="L3" s="124" t="n"/>
    </row>
  </sheetData>
  <mergeCells count="3">
    <mergeCell ref="A2:E2"/>
    <mergeCell ref="A1:L1"/>
    <mergeCell ref="L2:L3"/>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P3"/>
  <sheetViews>
    <sheetView workbookViewId="0">
      <selection activeCell="A1" sqref="A1"/>
    </sheetView>
  </sheetViews>
  <sheetFormatPr baseColWidth="8" defaultColWidth="12.63" defaultRowHeight="15.75" customHeight="1"/>
  <cols>
    <col width="19" customWidth="1" style="82" min="2" max="2"/>
  </cols>
  <sheetData>
    <row r="1">
      <c r="A1" s="132" t="inlineStr">
        <is>
          <t>Variable Cost</t>
        </is>
      </c>
      <c r="B1" s="121" t="n"/>
      <c r="C1" s="121" t="n"/>
      <c r="D1" s="121" t="n"/>
      <c r="E1" s="121" t="n"/>
      <c r="F1" s="121" t="n"/>
      <c r="G1" s="121" t="n"/>
      <c r="H1" s="121" t="n"/>
      <c r="I1" s="121" t="n"/>
      <c r="J1" s="121" t="n"/>
      <c r="K1" s="121" t="n"/>
      <c r="L1" s="121" t="n"/>
      <c r="M1" s="121" t="n"/>
      <c r="N1" s="121" t="n"/>
      <c r="O1" s="121" t="n"/>
      <c r="P1" s="122" t="n"/>
    </row>
    <row r="2">
      <c r="A2" s="132" t="n">
        <v>2026</v>
      </c>
      <c r="B2" s="121" t="n"/>
      <c r="C2" s="121" t="n"/>
      <c r="D2" s="121" t="n"/>
      <c r="E2" s="121" t="n"/>
      <c r="F2" s="121" t="n"/>
      <c r="G2" s="121" t="n"/>
      <c r="H2" s="121" t="n"/>
      <c r="I2" s="121" t="n"/>
      <c r="J2" s="121" t="n"/>
      <c r="K2" s="121" t="n"/>
      <c r="L2" s="121" t="n"/>
      <c r="M2" s="121" t="n"/>
      <c r="N2" s="121" t="n"/>
      <c r="O2" s="121" t="n"/>
      <c r="P2" s="122" t="n"/>
    </row>
    <row r="3">
      <c r="A3" s="132" t="inlineStr">
        <is>
          <t>No. 1</t>
        </is>
      </c>
      <c r="B3" s="89" t="inlineStr">
        <is>
          <t>Hạng mục chi phí</t>
        </is>
      </c>
      <c r="C3" s="89" t="inlineStr">
        <is>
          <t>Đơn vị</t>
        </is>
      </c>
      <c r="D3" s="89" t="inlineStr">
        <is>
          <t xml:space="preserve">Tháng 1 </t>
        </is>
      </c>
      <c r="E3" s="89" t="inlineStr">
        <is>
          <t xml:space="preserve">Tháng 2 </t>
        </is>
      </c>
      <c r="F3" s="89" t="inlineStr">
        <is>
          <t xml:space="preserve">Tháng 3 </t>
        </is>
      </c>
      <c r="G3" s="89" t="inlineStr">
        <is>
          <t xml:space="preserve">Tháng 4 </t>
        </is>
      </c>
      <c r="H3" s="89" t="inlineStr">
        <is>
          <t xml:space="preserve">Tháng 5 </t>
        </is>
      </c>
      <c r="I3" s="89" t="inlineStr">
        <is>
          <t xml:space="preserve">Tháng 6 </t>
        </is>
      </c>
      <c r="J3" s="89" t="inlineStr">
        <is>
          <t xml:space="preserve">Tháng 7 </t>
        </is>
      </c>
      <c r="K3" s="89" t="inlineStr">
        <is>
          <t xml:space="preserve">Tháng 8 </t>
        </is>
      </c>
      <c r="L3" s="89" t="inlineStr">
        <is>
          <t xml:space="preserve">Tháng 9 </t>
        </is>
      </c>
      <c r="M3" s="89" t="inlineStr">
        <is>
          <t xml:space="preserve">Tháng 10 </t>
        </is>
      </c>
      <c r="N3" s="89" t="inlineStr">
        <is>
          <t xml:space="preserve">Tháng 11 </t>
        </is>
      </c>
      <c r="O3" s="89" t="inlineStr">
        <is>
          <t xml:space="preserve">Tháng 12 </t>
        </is>
      </c>
      <c r="P3" s="89" t="inlineStr">
        <is>
          <t>Tổng</t>
        </is>
      </c>
    </row>
  </sheetData>
  <mergeCells count="2">
    <mergeCell ref="A1:P1"/>
    <mergeCell ref="A2:P2"/>
  </mergeCell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P25"/>
  <sheetViews>
    <sheetView workbookViewId="0">
      <selection activeCell="A1" sqref="A1"/>
    </sheetView>
  </sheetViews>
  <sheetFormatPr baseColWidth="8" defaultColWidth="12.63" defaultRowHeight="15.75" customHeight="1"/>
  <cols>
    <col width="8.25" customWidth="1" style="82" min="1" max="1"/>
    <col width="37.75" customWidth="1" style="82" min="2" max="2"/>
    <col width="13.38" customWidth="1" style="82" min="3" max="3"/>
    <col width="13.88" customWidth="1" style="82" min="4" max="5"/>
    <col width="14.63" customWidth="1" style="82" min="6" max="6"/>
    <col width="14.25" customWidth="1" style="82" min="7" max="7"/>
    <col width="14.38" customWidth="1" style="82" min="10" max="10"/>
    <col width="20.5" customWidth="1" style="82" min="13" max="13"/>
    <col width="20.13" customWidth="1" style="82" min="16" max="16"/>
  </cols>
  <sheetData>
    <row r="1">
      <c r="A1" s="132" t="inlineStr">
        <is>
          <t xml:space="preserve">Income Statement </t>
        </is>
      </c>
      <c r="B1" s="121" t="n"/>
      <c r="C1" s="121" t="n"/>
      <c r="D1" s="121" t="n"/>
      <c r="E1" s="121" t="n"/>
      <c r="F1" s="121" t="n"/>
      <c r="G1" s="122" t="n"/>
      <c r="I1" s="132" t="inlineStr">
        <is>
          <t>Income Statement 2027</t>
        </is>
      </c>
      <c r="J1" s="121" t="n"/>
      <c r="K1" s="121" t="n"/>
      <c r="L1" s="121" t="n"/>
      <c r="M1" s="121" t="n"/>
      <c r="N1" s="121" t="n"/>
      <c r="O1" s="121" t="n"/>
      <c r="P1" s="122" t="n"/>
    </row>
    <row r="2">
      <c r="A2" s="132" t="inlineStr">
        <is>
          <t>No,</t>
        </is>
      </c>
      <c r="B2" s="132" t="inlineStr">
        <is>
          <t>Chỉ tiêu</t>
        </is>
      </c>
      <c r="C2" s="132" t="inlineStr">
        <is>
          <t>Năm 2027 (VND)</t>
        </is>
      </c>
      <c r="D2" s="132" t="inlineStr">
        <is>
          <t>Năm 2028 (VND)</t>
        </is>
      </c>
      <c r="E2" s="132" t="inlineStr">
        <is>
          <t>Năm 2029 (VND)</t>
        </is>
      </c>
      <c r="F2" s="90" t="inlineStr">
        <is>
          <t>Năm 2030 (VND)</t>
        </is>
      </c>
      <c r="G2" s="132" t="inlineStr">
        <is>
          <t>Năm 2031 (VND)</t>
        </is>
      </c>
      <c r="I2" s="132" t="inlineStr">
        <is>
          <t>Tháng</t>
        </is>
      </c>
      <c r="J2" s="132" t="inlineStr">
        <is>
          <t>Doanh thu (VND)</t>
        </is>
      </c>
      <c r="K2" s="132" t="inlineStr">
        <is>
          <t>COGS (VND)</t>
        </is>
      </c>
      <c r="L2" s="132" t="inlineStr">
        <is>
          <t>OPEX (VND)</t>
        </is>
      </c>
      <c r="M2" s="132" t="inlineStr">
        <is>
          <t>Khấu hao/tháng (VND)</t>
        </is>
      </c>
      <c r="N2" s="132" t="inlineStr">
        <is>
          <t>EBIT (VND)</t>
        </is>
      </c>
      <c r="O2" s="132" t="inlineStr">
        <is>
          <t>Thuế (20%)</t>
        </is>
      </c>
      <c r="P2" s="132" t="inlineStr">
        <is>
          <t>Lợi nhuận ròng (VND)</t>
        </is>
      </c>
    </row>
    <row r="3">
      <c r="A3" s="91" t="n">
        <v>1</v>
      </c>
      <c r="B3" s="92" t="inlineStr">
        <is>
          <t>Doanh thu thuần (Net Revenue)</t>
        </is>
      </c>
      <c r="C3" s="91" t="n"/>
      <c r="D3" s="91" t="n"/>
      <c r="E3" s="91" t="n"/>
      <c r="F3" s="91" t="n"/>
      <c r="G3" s="91" t="n"/>
    </row>
    <row r="4">
      <c r="A4" s="91" t="n">
        <v>2</v>
      </c>
      <c r="B4" s="92" t="inlineStr">
        <is>
          <t>Giá vốn hàng bán (COGS)</t>
        </is>
      </c>
      <c r="C4" s="91" t="n"/>
      <c r="D4" s="91" t="n"/>
      <c r="E4" s="91" t="n"/>
      <c r="F4" s="91" t="n"/>
      <c r="G4" s="91" t="n"/>
    </row>
    <row r="5">
      <c r="A5" s="91" t="n">
        <v>3</v>
      </c>
      <c r="B5" s="92" t="inlineStr">
        <is>
          <t>Lợi nhuận gộp (Gross Profit)</t>
        </is>
      </c>
      <c r="C5" s="93" t="n"/>
      <c r="D5" s="93" t="n"/>
      <c r="E5" s="93" t="n"/>
      <c r="F5" s="93" t="n"/>
      <c r="G5" s="93" t="n"/>
    </row>
    <row r="6">
      <c r="A6" s="91" t="n">
        <v>4</v>
      </c>
      <c r="B6" s="94" t="inlineStr">
        <is>
          <t>Chi phí vận hành (OPEX)</t>
        </is>
      </c>
      <c r="C6" s="91" t="n"/>
      <c r="D6" s="91" t="n"/>
      <c r="E6" s="91" t="n"/>
      <c r="F6" s="91" t="n"/>
      <c r="G6" s="91" t="n"/>
    </row>
    <row r="7">
      <c r="A7" s="91" t="n">
        <v>5</v>
      </c>
      <c r="B7" s="92" t="inlineStr">
        <is>
          <t>Chi phí khấu hao</t>
        </is>
      </c>
      <c r="C7" s="95" t="n"/>
      <c r="D7" s="95" t="n"/>
      <c r="E7" s="95" t="n"/>
      <c r="F7" s="95" t="n"/>
      <c r="G7" s="95" t="n"/>
    </row>
    <row r="8">
      <c r="A8" s="91" t="n">
        <v>6</v>
      </c>
      <c r="B8" s="92" t="inlineStr">
        <is>
          <t>Lợi nhuận hoạt động (Operating Profit / EBIT)</t>
        </is>
      </c>
      <c r="C8" s="96" t="n"/>
      <c r="D8" s="96" t="n"/>
      <c r="E8" s="96" t="n"/>
      <c r="F8" s="96" t="n"/>
      <c r="G8" s="96" t="n"/>
    </row>
    <row r="9">
      <c r="A9" s="91" t="n">
        <v>7</v>
      </c>
      <c r="B9" s="92" t="inlineStr">
        <is>
          <t>Thu nhập khác (Other Income)</t>
        </is>
      </c>
      <c r="C9" s="91" t="n"/>
      <c r="D9" s="91" t="n"/>
      <c r="E9" s="91" t="n"/>
      <c r="F9" s="91" t="n"/>
      <c r="G9" s="91" t="n"/>
    </row>
    <row r="10">
      <c r="A10" s="91" t="n">
        <v>8</v>
      </c>
      <c r="B10" s="92" t="inlineStr">
        <is>
          <t>Chi phí khác (Other Expenses)</t>
        </is>
      </c>
      <c r="C10" s="91" t="n"/>
      <c r="D10" s="91" t="n"/>
      <c r="E10" s="97" t="n"/>
      <c r="F10" s="91" t="n"/>
      <c r="G10" s="91" t="n"/>
    </row>
    <row r="11">
      <c r="A11" s="91" t="n">
        <v>9</v>
      </c>
      <c r="B11" s="92" t="inlineStr">
        <is>
          <t>Lợi nhuận trước thuế (EBT)</t>
        </is>
      </c>
      <c r="C11" s="95" t="n"/>
      <c r="D11" s="95" t="n"/>
      <c r="E11" s="95" t="n"/>
      <c r="F11" s="95" t="n"/>
      <c r="G11" s="95" t="n"/>
    </row>
    <row r="12">
      <c r="A12" s="91" t="n">
        <v>10</v>
      </c>
      <c r="B12" s="92" t="inlineStr">
        <is>
          <t>Thuế thu nhập doanh nghiệp (CIT 20%)</t>
        </is>
      </c>
      <c r="C12" s="95" t="n"/>
      <c r="D12" s="95" t="n"/>
      <c r="E12" s="95" t="n"/>
      <c r="F12" s="95" t="n"/>
      <c r="G12" s="95" t="n"/>
    </row>
    <row r="13">
      <c r="A13" s="91" t="n">
        <v>11</v>
      </c>
      <c r="B13" s="92" t="inlineStr">
        <is>
          <t>Lợi nhuận ròng (Net Income After Tax)</t>
        </is>
      </c>
      <c r="C13" s="96" t="n"/>
      <c r="D13" s="93" t="n"/>
      <c r="E13" s="93" t="n"/>
      <c r="F13" s="93" t="n"/>
      <c r="G13" s="93" t="n"/>
    </row>
    <row r="14">
      <c r="A14" s="98" t="n"/>
      <c r="B14" s="98" t="n"/>
      <c r="C14" s="98" t="n"/>
      <c r="D14" s="98" t="n"/>
      <c r="E14" s="98" t="n"/>
      <c r="F14" s="98" t="n"/>
      <c r="G14" s="98" t="n"/>
    </row>
    <row r="15">
      <c r="A15" s="132" t="inlineStr">
        <is>
          <t>Tỷ suất lợi nhuận chính</t>
        </is>
      </c>
      <c r="B15" s="121" t="n"/>
      <c r="C15" s="121" t="n"/>
      <c r="D15" s="121" t="n"/>
      <c r="E15" s="121" t="n"/>
      <c r="F15" s="121" t="n"/>
      <c r="G15" s="122" t="n"/>
    </row>
    <row r="16">
      <c r="A16" s="132" t="inlineStr">
        <is>
          <t>No,</t>
        </is>
      </c>
      <c r="B16" s="132" t="inlineStr">
        <is>
          <t>Chỉ số</t>
        </is>
      </c>
      <c r="C16" s="132" t="inlineStr">
        <is>
          <t xml:space="preserve">Năm 2026 </t>
        </is>
      </c>
      <c r="D16" s="132" t="inlineStr">
        <is>
          <t>Năm 2027</t>
        </is>
      </c>
      <c r="E16" s="132" t="inlineStr">
        <is>
          <t>Năm 2028</t>
        </is>
      </c>
      <c r="F16" s="132" t="inlineStr">
        <is>
          <t>Năm 2029 (VND)</t>
        </is>
      </c>
      <c r="G16" s="132" t="inlineStr">
        <is>
          <t>Năm 2030 (VND)</t>
        </is>
      </c>
    </row>
    <row r="17">
      <c r="A17" s="99" t="n">
        <v>1</v>
      </c>
      <c r="B17" s="101" t="inlineStr">
        <is>
          <t>Gross Profit Margin (Biên lợi nhuận gộp)</t>
        </is>
      </c>
      <c r="C17" s="102">
        <f>(C3-C4)/C3</f>
        <v/>
      </c>
      <c r="D17" s="102">
        <f>(D3-D4)/D3</f>
        <v/>
      </c>
      <c r="E17" s="102">
        <f>(E3-E4)/E3</f>
        <v/>
      </c>
      <c r="F17" s="102">
        <f>(F3-F4)/F3</f>
        <v/>
      </c>
      <c r="G17" s="102">
        <f>(G3-G4)/G3</f>
        <v/>
      </c>
    </row>
    <row r="18">
      <c r="A18" s="99" t="n">
        <v>2</v>
      </c>
      <c r="B18" s="101" t="inlineStr">
        <is>
          <t>Operating Profit Margin (Biên lợi nhuận hoạt động)</t>
        </is>
      </c>
      <c r="C18" s="102">
        <f>C8/C3</f>
        <v/>
      </c>
      <c r="D18" s="102">
        <f>D8/D3</f>
        <v/>
      </c>
      <c r="E18" s="102">
        <f>E8/E3</f>
        <v/>
      </c>
      <c r="F18" s="102">
        <f>F8/F3</f>
        <v/>
      </c>
      <c r="G18" s="102">
        <f>G8/G3</f>
        <v/>
      </c>
    </row>
    <row r="19">
      <c r="A19" s="99" t="n">
        <v>3</v>
      </c>
      <c r="B19" s="101" t="inlineStr">
        <is>
          <t>Net Profit Margin (Biên lợi nhuận ròng)</t>
        </is>
      </c>
      <c r="C19" s="102">
        <f>C13/C3</f>
        <v/>
      </c>
      <c r="D19" s="102">
        <f>D13/D3</f>
        <v/>
      </c>
      <c r="E19" s="102">
        <f>E13/E3</f>
        <v/>
      </c>
      <c r="F19" s="102">
        <f>F13/F3</f>
        <v/>
      </c>
      <c r="G19" s="102">
        <f>G13/G3</f>
        <v/>
      </c>
    </row>
    <row r="20">
      <c r="A20" s="99" t="n">
        <v>4</v>
      </c>
      <c r="B20" s="101" t="inlineStr">
        <is>
          <t>COGS Ratio (Tỷ trọng giá vốn/doanh thu)</t>
        </is>
      </c>
      <c r="C20" s="102">
        <f>C4/C3</f>
        <v/>
      </c>
      <c r="D20" s="102">
        <f>D4/D3</f>
        <v/>
      </c>
      <c r="E20" s="102">
        <f>E4/E3</f>
        <v/>
      </c>
      <c r="F20" s="102">
        <f>F4/F3</f>
        <v/>
      </c>
      <c r="G20" s="102">
        <f>G4/G3</f>
        <v/>
      </c>
    </row>
    <row r="21">
      <c r="A21" s="99" t="n">
        <v>5</v>
      </c>
      <c r="B21" s="101" t="inlineStr">
        <is>
          <t>OPEX Ratio (Tỷ trọng chi phí vận hành/doanh thu)</t>
        </is>
      </c>
      <c r="C21" s="102">
        <f>C6/C3</f>
        <v/>
      </c>
      <c r="D21" s="102">
        <f>D6/D3</f>
        <v/>
      </c>
      <c r="E21" s="102">
        <f>E6/E3</f>
        <v/>
      </c>
      <c r="F21" s="102">
        <f>F6/F3</f>
        <v/>
      </c>
      <c r="G21" s="102">
        <f>G6/G3</f>
        <v/>
      </c>
    </row>
    <row r="25">
      <c r="D25" s="103" t="n"/>
    </row>
  </sheetData>
  <mergeCells count="3">
    <mergeCell ref="A1:G1"/>
    <mergeCell ref="I1:P1"/>
    <mergeCell ref="A15:G15"/>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L36"/>
  <sheetViews>
    <sheetView workbookViewId="0">
      <selection activeCell="A1" sqref="A1"/>
    </sheetView>
  </sheetViews>
  <sheetFormatPr baseColWidth="8" defaultColWidth="12.63" defaultRowHeight="15.75" customHeight="1"/>
  <cols>
    <col width="35.25" customWidth="1" style="82" min="6" max="6"/>
  </cols>
  <sheetData>
    <row r="1">
      <c r="A1" s="128" t="inlineStr">
        <is>
          <t>Financial indicators</t>
        </is>
      </c>
      <c r="B1" s="129" t="n"/>
      <c r="C1" s="129" t="n"/>
      <c r="D1" s="129" t="n"/>
      <c r="E1" s="130" t="n"/>
    </row>
    <row r="2">
      <c r="A2" s="76" t="inlineStr">
        <is>
          <t>Year</t>
        </is>
      </c>
      <c r="B2" s="76" t="inlineStr">
        <is>
          <t>Cash flow</t>
        </is>
      </c>
      <c r="C2" s="76" t="inlineStr">
        <is>
          <t>Cumulative</t>
        </is>
      </c>
      <c r="D2" s="76" t="inlineStr">
        <is>
          <t xml:space="preserve">PV </t>
        </is>
      </c>
      <c r="E2" s="76" t="inlineStr">
        <is>
          <t>PV cumiulative</t>
        </is>
      </c>
    </row>
    <row r="3">
      <c r="A3" s="76" t="n">
        <v>2026</v>
      </c>
      <c r="B3" s="100">
        <f>G23+G27</f>
        <v/>
      </c>
      <c r="C3" s="100">
        <f>B3</f>
        <v/>
      </c>
      <c r="D3" s="100">
        <f>B3</f>
        <v/>
      </c>
      <c r="E3" s="100">
        <f>D3</f>
        <v/>
      </c>
    </row>
    <row r="4">
      <c r="A4" s="76" t="n">
        <v>2027</v>
      </c>
      <c r="B4" s="100">
        <f>H23</f>
        <v/>
      </c>
      <c r="C4" s="100">
        <f>B4+C3</f>
        <v/>
      </c>
      <c r="D4" s="100">
        <f>(B4/1.15^1)</f>
        <v/>
      </c>
      <c r="E4" s="100">
        <f>E3+D4</f>
        <v/>
      </c>
    </row>
    <row r="5">
      <c r="A5" s="76" t="n">
        <v>2028</v>
      </c>
      <c r="B5" s="100">
        <f>I23</f>
        <v/>
      </c>
      <c r="C5" s="100">
        <f>B5+C4</f>
        <v/>
      </c>
      <c r="D5" s="100">
        <f>(B5/1.15^2)</f>
        <v/>
      </c>
      <c r="E5" s="100">
        <f>E4+D5</f>
        <v/>
      </c>
    </row>
    <row r="6">
      <c r="A6" s="76" t="n">
        <v>2029</v>
      </c>
      <c r="B6" s="100">
        <f>J23</f>
        <v/>
      </c>
      <c r="C6" s="100">
        <f>B6+C5</f>
        <v/>
      </c>
      <c r="D6" s="100">
        <f>(B6/1.15^3)</f>
        <v/>
      </c>
      <c r="E6" s="100">
        <f>E5+D6</f>
        <v/>
      </c>
    </row>
    <row r="7">
      <c r="A7" s="76" t="n">
        <v>2030</v>
      </c>
      <c r="B7" s="100">
        <f>K23</f>
        <v/>
      </c>
      <c r="C7" s="100">
        <f>B7+C6</f>
        <v/>
      </c>
      <c r="D7" s="100">
        <f>(B7/1.15^4)</f>
        <v/>
      </c>
      <c r="E7" s="100">
        <f>E6+D7</f>
        <v/>
      </c>
    </row>
    <row r="8">
      <c r="A8" s="76" t="n">
        <v>2031</v>
      </c>
      <c r="B8" s="100">
        <f>L23</f>
        <v/>
      </c>
      <c r="C8" s="100">
        <f>B8+C7</f>
        <v/>
      </c>
      <c r="D8" s="100">
        <f>(B8/1.15^5)</f>
        <v/>
      </c>
      <c r="E8" s="100">
        <f>E7+D8</f>
        <v/>
      </c>
    </row>
    <row r="9">
      <c r="A9" s="133" t="inlineStr">
        <is>
          <t>Estimated Cost of capital</t>
        </is>
      </c>
      <c r="B9" s="121" t="n"/>
      <c r="C9" s="121" t="n"/>
      <c r="D9" s="122" t="n"/>
      <c r="E9" s="105" t="n"/>
    </row>
    <row r="10">
      <c r="A10" s="133" t="inlineStr">
        <is>
          <t>Break even point</t>
        </is>
      </c>
      <c r="B10" s="121" t="n"/>
      <c r="C10" s="121" t="n"/>
      <c r="D10" s="122" t="n"/>
      <c r="E10" s="106">
        <f>I7</f>
        <v/>
      </c>
    </row>
    <row r="11">
      <c r="A11" s="133" t="inlineStr">
        <is>
          <t>Payback Period/ Year</t>
        </is>
      </c>
      <c r="B11" s="121" t="n"/>
      <c r="C11" s="121" t="n"/>
      <c r="D11" s="122" t="n"/>
      <c r="E11" s="107">
        <f>3+ ABS(C6)/B7</f>
        <v/>
      </c>
    </row>
    <row r="12">
      <c r="A12" s="134" t="inlineStr">
        <is>
          <t>Discounted Paypack period/ Year</t>
        </is>
      </c>
      <c r="B12" s="121" t="n"/>
      <c r="C12" s="121" t="n"/>
      <c r="D12" s="122" t="n"/>
      <c r="E12" s="107">
        <f>3+ ABS(E6)/D7</f>
        <v/>
      </c>
    </row>
    <row r="13">
      <c r="A13" s="134" t="inlineStr">
        <is>
          <t>NPV</t>
        </is>
      </c>
      <c r="B13" s="121" t="n"/>
      <c r="C13" s="121" t="n"/>
      <c r="D13" s="122" t="n"/>
      <c r="E13" s="109">
        <f t="array" ref="E13">NPV(E9,B4:B8)+B3</f>
        <v/>
      </c>
    </row>
    <row r="14">
      <c r="A14" s="135" t="inlineStr">
        <is>
          <t>IRR</t>
        </is>
      </c>
      <c r="B14" s="121" t="n"/>
      <c r="C14" s="121" t="n"/>
      <c r="D14" s="122" t="n"/>
      <c r="E14" s="111">
        <f>IRR(B3:B8)</f>
        <v/>
      </c>
    </row>
    <row r="16">
      <c r="F16" s="136" t="inlineStr">
        <is>
          <t>CASH FLOW</t>
        </is>
      </c>
      <c r="G16" s="129" t="n"/>
      <c r="H16" s="129" t="n"/>
      <c r="I16" s="129" t="n"/>
      <c r="J16" s="129" t="n"/>
      <c r="K16" s="129" t="n"/>
      <c r="L16" s="130" t="n"/>
    </row>
    <row r="17">
      <c r="F17" s="132" t="inlineStr">
        <is>
          <t>Hạng mục</t>
        </is>
      </c>
      <c r="G17" s="132" t="inlineStr">
        <is>
          <t>Năm 0 (2026)</t>
        </is>
      </c>
      <c r="H17" s="132" t="inlineStr">
        <is>
          <t>Năm 1 (2027)</t>
        </is>
      </c>
      <c r="I17" s="132" t="inlineStr">
        <is>
          <t>Năm 2 (2028)</t>
        </is>
      </c>
      <c r="J17" s="132" t="inlineStr">
        <is>
          <t>Năm 3 (2029)</t>
        </is>
      </c>
      <c r="K17" s="132" t="inlineStr">
        <is>
          <t>Năm 4 (2030)</t>
        </is>
      </c>
      <c r="L17" s="132" t="inlineStr">
        <is>
          <t>Năm 5 (2031)</t>
        </is>
      </c>
    </row>
    <row r="18">
      <c r="F18" s="132" t="inlineStr">
        <is>
          <t>A. DÒNG TIỀN TỪ HOẠT ĐỘNG KINH DOANH (Operating Activities)</t>
        </is>
      </c>
      <c r="G18" s="121" t="n"/>
      <c r="H18" s="121" t="n"/>
      <c r="I18" s="121" t="n"/>
      <c r="J18" s="121" t="n"/>
      <c r="K18" s="121" t="n"/>
      <c r="L18" s="122" t="n"/>
    </row>
    <row r="19">
      <c r="F19" s="132" t="inlineStr">
        <is>
          <t>1. Tiền nhận được từ sale</t>
        </is>
      </c>
      <c r="G19" s="99" t="n">
        <v>0</v>
      </c>
      <c r="H19" s="91">
        <f>'INCOME STATEMENT'!C3</f>
        <v/>
      </c>
      <c r="I19" s="91">
        <f>'INCOME STATEMENT'!D3</f>
        <v/>
      </c>
      <c r="J19" s="91">
        <f>'INCOME STATEMENT'!E3</f>
        <v/>
      </c>
      <c r="K19" s="91">
        <f>'INCOME STATEMENT'!F3</f>
        <v/>
      </c>
      <c r="L19" s="91">
        <f>'INCOME STATEMENT'!G3</f>
        <v/>
      </c>
    </row>
    <row r="20">
      <c r="F20" s="132" t="inlineStr">
        <is>
          <t>2. Giá vốn bán hàng</t>
        </is>
      </c>
      <c r="G20" s="99" t="n">
        <v>0</v>
      </c>
      <c r="H20" s="91">
        <f>'INCOME STATEMENT'!C4</f>
        <v/>
      </c>
      <c r="I20" s="91">
        <f>'INCOME STATEMENT'!D4</f>
        <v/>
      </c>
      <c r="J20" s="91">
        <f>'INCOME STATEMENT'!E4</f>
        <v/>
      </c>
      <c r="K20" s="91">
        <f>'INCOME STATEMENT'!F4</f>
        <v/>
      </c>
      <c r="L20" s="91">
        <f>'INCOME STATEMENT'!G4</f>
        <v/>
      </c>
    </row>
    <row r="21">
      <c r="F21" s="132" t="inlineStr">
        <is>
          <t>3. Chi phí vận hành OPEX</t>
        </is>
      </c>
      <c r="G21" s="99" t="n">
        <v>0</v>
      </c>
      <c r="H21" s="113">
        <f>OPEX!G40</f>
        <v/>
      </c>
      <c r="I21" s="91">
        <f>'INCOME STATEMENT'!D6</f>
        <v/>
      </c>
      <c r="J21" s="91">
        <f>'INCOME STATEMENT'!E6</f>
        <v/>
      </c>
      <c r="K21" s="91">
        <f>'INCOME STATEMENT'!F6</f>
        <v/>
      </c>
      <c r="L21" s="91">
        <f>'INCOME STATEMENT'!G6</f>
        <v/>
      </c>
    </row>
    <row r="22">
      <c r="F22" s="132" t="inlineStr">
        <is>
          <t>4. Thuế TNDN phải nộp</t>
        </is>
      </c>
      <c r="G22" s="99" t="n">
        <v>0</v>
      </c>
      <c r="H22" s="99" t="n">
        <v>0</v>
      </c>
      <c r="I22" s="91">
        <f>'INCOME STATEMENT'!O31</f>
        <v/>
      </c>
      <c r="J22" s="95">
        <f>'INCOME STATEMENT'!E12</f>
        <v/>
      </c>
      <c r="K22" s="95">
        <f>'INCOME STATEMENT'!F12</f>
        <v/>
      </c>
      <c r="L22" s="95">
        <f>'INCOME STATEMENT'!G12</f>
        <v/>
      </c>
    </row>
    <row r="23">
      <c r="F23" s="132" t="inlineStr">
        <is>
          <t>Dòng tiền thuần từ HĐKD (CFO)</t>
        </is>
      </c>
      <c r="G23" s="95">
        <f>SUM(G19:G22)</f>
        <v/>
      </c>
      <c r="H23" s="95">
        <f>H19-H20-H21-H22</f>
        <v/>
      </c>
      <c r="I23" s="95">
        <f>'INCOME STATEMENT'!N31-'INCOME STATEMENT'!O31+'INCOME STATEMENT'!M31</f>
        <v/>
      </c>
      <c r="J23" s="95">
        <f>'INCOME STATEMENT'!N47-'INCOME STATEMENT'!O47+'INCOME STATEMENT'!M47</f>
        <v/>
      </c>
      <c r="K23" s="95">
        <f>'INCOME STATEMENT'!N63-'INCOME STATEMENT'!O63+'INCOME STATEMENT'!M63</f>
        <v/>
      </c>
      <c r="L23" s="95">
        <f>'INCOME STATEMENT'!N79-'INCOME STATEMENT'!O79+'INCOME STATEMENT'!M79</f>
        <v/>
      </c>
    </row>
    <row r="24">
      <c r="F24" s="137" t="inlineStr">
        <is>
          <t>B. DÒNG TIỀN TỪ HOẠT ĐỘNG ĐẦU TƯ (Investing Activities)</t>
        </is>
      </c>
      <c r="G24" s="138" t="n"/>
      <c r="H24" s="138" t="n"/>
      <c r="I24" s="138" t="n"/>
      <c r="J24" s="138" t="n"/>
      <c r="K24" s="138" t="n"/>
      <c r="L24" s="139" t="n"/>
    </row>
    <row r="25">
      <c r="F25" s="132" t="inlineStr">
        <is>
          <t xml:space="preserve">1. Chi đầu tư tài sản cố định </t>
        </is>
      </c>
      <c r="G25" s="95">
        <f>-CAPEX!G36</f>
        <v/>
      </c>
      <c r="H25" s="99" t="n">
        <v>0</v>
      </c>
      <c r="I25" s="99" t="n">
        <v>0</v>
      </c>
      <c r="J25" s="99" t="n">
        <v>0</v>
      </c>
      <c r="K25" s="99" t="n">
        <v>0</v>
      </c>
      <c r="L25" s="99" t="n">
        <v>0</v>
      </c>
    </row>
    <row r="26">
      <c r="F26" s="132" t="inlineStr">
        <is>
          <t>2. Thanh lý / Thu hồi TSCĐ</t>
        </is>
      </c>
      <c r="G26" s="99" t="n">
        <v>0</v>
      </c>
      <c r="H26" s="99" t="n">
        <v>0</v>
      </c>
      <c r="I26" s="99" t="n">
        <v>0</v>
      </c>
      <c r="J26" s="99" t="n">
        <v>0</v>
      </c>
      <c r="K26" s="99" t="n">
        <v>0</v>
      </c>
      <c r="L26" s="99" t="n">
        <v>0</v>
      </c>
    </row>
    <row r="27">
      <c r="F27" s="132" t="inlineStr">
        <is>
          <t>Dòng tiền thuần từ HĐĐT (CFI)</t>
        </is>
      </c>
      <c r="G27" s="95">
        <f>G25</f>
        <v/>
      </c>
      <c r="H27" s="117" t="n"/>
      <c r="I27" s="117" t="n"/>
      <c r="J27" s="117" t="n"/>
      <c r="K27" s="117" t="n"/>
      <c r="L27" s="117" t="n"/>
    </row>
    <row r="28">
      <c r="F28" s="132" t="inlineStr">
        <is>
          <t>C. DÒNG TIỀN TỪ HOẠT ĐỘNG TÀI CHÍNH (Financing Activities)</t>
        </is>
      </c>
      <c r="G28" s="129" t="n"/>
      <c r="H28" s="129" t="n"/>
      <c r="I28" s="129" t="n"/>
      <c r="J28" s="129" t="n"/>
      <c r="K28" s="129" t="n"/>
      <c r="L28" s="130" t="n"/>
    </row>
    <row r="29">
      <c r="F29" s="140" t="n"/>
      <c r="G29" s="138" t="n"/>
      <c r="H29" s="138" t="n"/>
      <c r="I29" s="138" t="n"/>
      <c r="J29" s="138" t="n"/>
      <c r="K29" s="138" t="n"/>
      <c r="L29" s="139" t="n"/>
    </row>
    <row r="30">
      <c r="F30" s="132" t="inlineStr">
        <is>
          <t>1. Vốn góp / Huy động (Equity funding)</t>
        </is>
      </c>
      <c r="G30" s="91">
        <f>'Working capital requirement'!A3+CAPEX!G36</f>
        <v/>
      </c>
      <c r="H30" s="99" t="n">
        <v>0</v>
      </c>
      <c r="I30" s="99" t="n">
        <v>0</v>
      </c>
      <c r="J30" s="99" t="n">
        <v>0</v>
      </c>
      <c r="K30" s="99" t="n">
        <v>0</v>
      </c>
      <c r="L30" s="99" t="n">
        <v>0</v>
      </c>
    </row>
    <row r="31">
      <c r="F31" s="132" t="inlineStr">
        <is>
          <t>2. Chi trả cổ tức / lãi vay</t>
        </is>
      </c>
      <c r="G31" s="99" t="n">
        <v>0</v>
      </c>
      <c r="H31" s="99" t="n">
        <v>0</v>
      </c>
      <c r="I31" s="99" t="n">
        <v>0</v>
      </c>
      <c r="J31" s="99" t="n">
        <v>0</v>
      </c>
      <c r="K31" s="99" t="n">
        <v>0</v>
      </c>
      <c r="L31" s="99" t="n">
        <v>0</v>
      </c>
    </row>
    <row r="32">
      <c r="F32" s="132" t="inlineStr">
        <is>
          <t>Dòng tiền thuần từ HĐTC (CFF)</t>
        </is>
      </c>
      <c r="G32" s="91">
        <f>SUM(G30:G31)</f>
        <v/>
      </c>
      <c r="H32" s="99" t="n">
        <v>0</v>
      </c>
      <c r="I32" s="99" t="n">
        <v>0</v>
      </c>
      <c r="J32" s="99" t="n">
        <v>0</v>
      </c>
      <c r="K32" s="99" t="n">
        <v>0</v>
      </c>
      <c r="L32" s="99" t="n">
        <v>0</v>
      </c>
    </row>
    <row r="33">
      <c r="F33" s="117" t="n"/>
      <c r="G33" s="121" t="n"/>
      <c r="H33" s="121" t="n"/>
      <c r="I33" s="121" t="n"/>
      <c r="J33" s="122" t="n"/>
      <c r="K33" s="117" t="n"/>
      <c r="L33" s="117" t="n"/>
    </row>
    <row r="34">
      <c r="F34" s="132" t="inlineStr">
        <is>
          <t>D. TỔNG DÒNG TIỀN THUẦN (A + B + C)</t>
        </is>
      </c>
      <c r="G34" s="95">
        <f>G27+G23+G32</f>
        <v/>
      </c>
      <c r="H34" s="95">
        <f>H23+H27+H32</f>
        <v/>
      </c>
      <c r="I34" s="95">
        <f>I23+I27+I32</f>
        <v/>
      </c>
      <c r="J34" s="95">
        <f>J23+J27+J32</f>
        <v/>
      </c>
      <c r="K34" s="95">
        <f>K23+K27+K32</f>
        <v/>
      </c>
      <c r="L34" s="95">
        <f>L23+L27+L32</f>
        <v/>
      </c>
    </row>
    <row r="35">
      <c r="F35" s="132" t="inlineStr">
        <is>
          <t>Tiền tồn đầu kỳ</t>
        </is>
      </c>
      <c r="G35" s="91" t="n">
        <v>0</v>
      </c>
      <c r="H35" s="91">
        <f>G36</f>
        <v/>
      </c>
      <c r="I35" s="91">
        <f>H36</f>
        <v/>
      </c>
      <c r="J35" s="91">
        <f>I36</f>
        <v/>
      </c>
      <c r="K35" s="91">
        <f>J36</f>
        <v/>
      </c>
      <c r="L35" s="91">
        <f>K36</f>
        <v/>
      </c>
    </row>
    <row r="36">
      <c r="F36" s="132" t="inlineStr">
        <is>
          <t>Tiền tồn cuối kỳ</t>
        </is>
      </c>
      <c r="G36" s="91">
        <f>G35+G34</f>
        <v/>
      </c>
      <c r="H36" s="91">
        <f>H34+H35</f>
        <v/>
      </c>
      <c r="I36" s="91">
        <f>I34+I35</f>
        <v/>
      </c>
      <c r="J36" s="91">
        <f>J34+J35</f>
        <v/>
      </c>
      <c r="K36" s="91">
        <f>K34+K35</f>
        <v/>
      </c>
      <c r="L36" s="91">
        <f>L34+L35</f>
        <v/>
      </c>
    </row>
  </sheetData>
  <mergeCells count="12">
    <mergeCell ref="A9:D9"/>
    <mergeCell ref="A12:D12"/>
    <mergeCell ref="F28:L29"/>
    <mergeCell ref="F18:L18"/>
    <mergeCell ref="A1:E1"/>
    <mergeCell ref="F33:J33"/>
    <mergeCell ref="F24:L24"/>
    <mergeCell ref="A11:D11"/>
    <mergeCell ref="F16:L16"/>
    <mergeCell ref="A10:D10"/>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2026-08-28T18:37:35Z</dcterms:created>
  <dcterms:modified xmlns:dcterms="http://purl.org/dc/terms/" xmlns:xsi="http://www.w3.org/2001/XMLSchema-instance" xsi:type="dcterms:W3CDTF">2026-08-28T18:51:22Z</dcterms:modified>
</cp:coreProperties>
</file>